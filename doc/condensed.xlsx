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https://d.docs.live.net/4e89596cd6b3b5f0/デスクトップ/univunit/"/>
    </mc:Choice>
  </mc:AlternateContent>
  <xr:revisionPtr revIDLastSave="917" documentId="11_DDFD3094C8EDB4203FE7F0F4EB81D47C36BE8510" xr6:coauthVersionLast="47" xr6:coauthVersionMax="47" xr10:uidLastSave="{2790DC6D-5367-46E6-A851-2FB8D85E7627}"/>
  <bookViews>
    <workbookView xWindow="-110" yWindow="-110" windowWidth="41180" windowHeight="21100"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Clock_by_Rydberg!$A$1:$L$145</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Clock_by_Rydberg!$F$139</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AL118" i="9"/>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C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3" i="9"/>
  <c r="F142"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0" i="9"/>
  <c r="AL126" i="9"/>
  <c r="L126" i="9"/>
  <c r="AL132" i="9"/>
  <c r="L132" i="9"/>
  <c r="AL140" i="9"/>
  <c r="AL139" i="9"/>
  <c r="AL138" i="9"/>
  <c r="AL127" i="9"/>
  <c r="AL125"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29" i="9"/>
  <c r="L139" i="9"/>
  <c r="L135"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8" i="9"/>
  <c r="L140" i="9"/>
  <c r="L138" i="9"/>
  <c r="L137" i="9"/>
  <c r="L136" i="9"/>
  <c r="L134" i="9"/>
  <c r="L133" i="9"/>
  <c r="L131" i="9"/>
  <c r="L130" i="9"/>
  <c r="L127" i="9"/>
  <c r="L125"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Q85" i="9" s="1"/>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X45" i="21" l="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S85" i="9" s="1"/>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F48" i="26" l="1"/>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U85" i="9" s="1"/>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M48" i="26" l="1"/>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5"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41" i="9"/>
  <c r="Q34" i="7"/>
  <c r="S34" i="7"/>
  <c r="L59" i="7"/>
  <c r="M41" i="7"/>
  <c r="N63" i="7"/>
  <c r="O63" i="7" s="1"/>
  <c r="K19" i="9"/>
  <c r="P92" i="1"/>
  <c r="O92" i="1"/>
  <c r="F42" i="7"/>
  <c r="K42" i="7" s="1"/>
  <c r="H42" i="7" s="1"/>
  <c r="O41" i="9"/>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6" i="9"/>
  <c r="AM130" i="9"/>
  <c r="B3" i="10"/>
  <c r="C3" i="10" s="1"/>
  <c r="D3" i="10" s="1"/>
  <c r="E3" i="10" s="1"/>
  <c r="U84" i="9"/>
  <c r="U82" i="9"/>
  <c r="U78" i="9"/>
  <c r="U80" i="9"/>
  <c r="W31" i="9"/>
  <c r="U79" i="9"/>
  <c r="U41" i="9"/>
  <c r="U91" i="9"/>
  <c r="U83" i="9"/>
  <c r="U74" i="9"/>
  <c r="AM132" i="9"/>
  <c r="AM125" i="9"/>
  <c r="AM127" i="9"/>
  <c r="AM118" i="9"/>
  <c r="AM140" i="9"/>
  <c r="AM138" i="9"/>
  <c r="AM139"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P48" i="26" l="1"/>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1"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R48" i="26" l="1"/>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5" i="9"/>
  <c r="K135" i="9" s="1"/>
  <c r="M135"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38" i="9"/>
  <c r="K138" i="9" s="1"/>
  <c r="N138" i="9" s="1"/>
  <c r="P138" i="9" s="1"/>
  <c r="R138"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39" i="9"/>
  <c r="K139" i="9" s="1"/>
  <c r="N139" i="9" s="1"/>
  <c r="P139" i="9" s="1"/>
  <c r="F124" i="9"/>
  <c r="K124" i="9" s="1"/>
  <c r="N124" i="9" s="1"/>
  <c r="P124" i="9" s="1"/>
  <c r="R124" i="9" s="1"/>
  <c r="F127" i="9"/>
  <c r="K127" i="9" s="1"/>
  <c r="M127" i="9" s="1"/>
  <c r="F121" i="9"/>
  <c r="K121" i="9" s="1"/>
  <c r="N121" i="9" s="1"/>
  <c r="F125" i="9"/>
  <c r="K125" i="9" s="1"/>
  <c r="N125" i="9" s="1"/>
  <c r="P125" i="9" s="1"/>
  <c r="Q125" i="9" s="1"/>
  <c r="F126" i="9"/>
  <c r="K126" i="9" s="1"/>
  <c r="R57" i="9"/>
  <c r="S57" i="9" s="1"/>
  <c r="F131" i="9"/>
  <c r="K131" i="9" s="1"/>
  <c r="M131" i="9" s="1"/>
  <c r="F136" i="9"/>
  <c r="K136" i="9" s="1"/>
  <c r="N136" i="9" s="1"/>
  <c r="O136" i="9" s="1"/>
  <c r="F118" i="9"/>
  <c r="K118" i="9" s="1"/>
  <c r="N118" i="9" s="1"/>
  <c r="O118" i="9" s="1"/>
  <c r="F137" i="9"/>
  <c r="K137" i="9" s="1"/>
  <c r="N137" i="9" s="1"/>
  <c r="P137" i="9" s="1"/>
  <c r="Q137" i="9" s="1"/>
  <c r="F129" i="9"/>
  <c r="K129" i="9" s="1"/>
  <c r="M129" i="9" s="1"/>
  <c r="D143" i="9"/>
  <c r="D144" i="9"/>
  <c r="D142" i="9"/>
  <c r="F140" i="9"/>
  <c r="K140" i="9" s="1"/>
  <c r="N140" i="9" s="1"/>
  <c r="P140" i="9" s="1"/>
  <c r="Q140" i="9" s="1"/>
  <c r="F119" i="9"/>
  <c r="K119" i="9" s="1"/>
  <c r="M119" i="9" s="1"/>
  <c r="F123" i="9"/>
  <c r="K123" i="9" s="1"/>
  <c r="N123" i="9" s="1"/>
  <c r="O123" i="9" s="1"/>
  <c r="O57" i="9"/>
  <c r="F122" i="9"/>
  <c r="K122" i="9" s="1"/>
  <c r="N122" i="9" s="1"/>
  <c r="P122" i="9" s="1"/>
  <c r="Q122" i="9" s="1"/>
  <c r="F133" i="9"/>
  <c r="K133" i="9" s="1"/>
  <c r="M133" i="9" s="1"/>
  <c r="F130" i="9"/>
  <c r="K130" i="9" s="1"/>
  <c r="N130" i="9" s="1"/>
  <c r="P130" i="9" s="1"/>
  <c r="Q130" i="9" s="1"/>
  <c r="F128" i="9"/>
  <c r="K128" i="9" s="1"/>
  <c r="M128" i="9" s="1"/>
  <c r="F132" i="9"/>
  <c r="K132" i="9" s="1"/>
  <c r="N132" i="9" s="1"/>
  <c r="F134" i="9"/>
  <c r="K134" i="9" s="1"/>
  <c r="N134" i="9" s="1"/>
  <c r="O134"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S48" i="26" l="1"/>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5" i="9"/>
  <c r="P135" i="9" s="1"/>
  <c r="R135" i="9" s="1"/>
  <c r="V67" i="9"/>
  <c r="U67" i="9"/>
  <c r="V45" i="27"/>
  <c r="U45" i="27"/>
  <c r="T115" i="9"/>
  <c r="S115" i="9"/>
  <c r="U113" i="9"/>
  <c r="V113" i="9"/>
  <c r="V34" i="27"/>
  <c r="U34" i="27"/>
  <c r="N59" i="26"/>
  <c r="H59" i="26"/>
  <c r="M59" i="26"/>
  <c r="L59" i="26"/>
  <c r="T114" i="9"/>
  <c r="S114" i="9"/>
  <c r="P41" i="26"/>
  <c r="O41" i="26"/>
  <c r="T104" i="9"/>
  <c r="S104" i="9"/>
  <c r="N25" i="9"/>
  <c r="P25" i="9" s="1"/>
  <c r="M25" i="24"/>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F100" i="9"/>
  <c r="K100" i="9" s="1"/>
  <c r="N100" i="9" s="1"/>
  <c r="F7" i="23"/>
  <c r="F15" i="23"/>
  <c r="F11" i="23"/>
  <c r="F12" i="23"/>
  <c r="F101" i="9"/>
  <c r="K101" i="9" s="1"/>
  <c r="T47" i="21"/>
  <c r="S47" i="21"/>
  <c r="R41" i="21"/>
  <c r="Q41" i="21"/>
  <c r="N26" i="9"/>
  <c r="P26" i="9" s="1"/>
  <c r="F98" i="9"/>
  <c r="K98" i="9" s="1"/>
  <c r="F99" i="9"/>
  <c r="K99" i="9" s="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38" i="9"/>
  <c r="R39" i="7"/>
  <c r="Q39" i="7"/>
  <c r="R54" i="7"/>
  <c r="Q44" i="7"/>
  <c r="O50" i="7"/>
  <c r="P50" i="7"/>
  <c r="R42" i="7"/>
  <c r="Q42" i="7"/>
  <c r="N127" i="9"/>
  <c r="P127" i="9" s="1"/>
  <c r="R127" i="9" s="1"/>
  <c r="S127" i="9" s="1"/>
  <c r="O138" i="9"/>
  <c r="V60" i="1"/>
  <c r="U60" i="1"/>
  <c r="V92" i="1"/>
  <c r="U92" i="1"/>
  <c r="AC61" i="1"/>
  <c r="AC60" i="1"/>
  <c r="AC92" i="1"/>
  <c r="V70" i="1"/>
  <c r="U70" i="1"/>
  <c r="X61" i="1"/>
  <c r="W61" i="1"/>
  <c r="Q49" i="7"/>
  <c r="O49" i="7"/>
  <c r="M138" i="9"/>
  <c r="R60" i="9"/>
  <c r="Q60" i="9"/>
  <c r="R62" i="9"/>
  <c r="Q62" i="9"/>
  <c r="K26" i="9"/>
  <c r="V61" i="9"/>
  <c r="U61" i="9"/>
  <c r="V63" i="9"/>
  <c r="U63" i="9"/>
  <c r="S49" i="7"/>
  <c r="K23" i="7"/>
  <c r="R60" i="7"/>
  <c r="Q60" i="7"/>
  <c r="V61" i="7"/>
  <c r="U61" i="7"/>
  <c r="K25" i="9"/>
  <c r="P92" i="7"/>
  <c r="O92" i="7"/>
  <c r="G46" i="17"/>
  <c r="E47" i="17"/>
  <c r="L46" i="17"/>
  <c r="L44" i="17"/>
  <c r="O45" i="17"/>
  <c r="G44" i="17"/>
  <c r="E43" i="17"/>
  <c r="R93" i="9"/>
  <c r="P50" i="9"/>
  <c r="O50" i="9"/>
  <c r="V53" i="1"/>
  <c r="X53" i="1" s="1"/>
  <c r="Z53" i="1" s="1"/>
  <c r="AB53" i="1" s="1"/>
  <c r="AD53" i="1" s="1"/>
  <c r="AF53" i="1" s="1"/>
  <c r="AH53" i="1" s="1"/>
  <c r="AJ53" i="1" s="1"/>
  <c r="M130" i="9"/>
  <c r="U45" i="18"/>
  <c r="V45" i="18"/>
  <c r="U57" i="18"/>
  <c r="V57" i="18"/>
  <c r="U55" i="18"/>
  <c r="V55" i="18"/>
  <c r="V59" i="1"/>
  <c r="U59" i="1"/>
  <c r="AC87" i="1"/>
  <c r="AC98" i="1"/>
  <c r="AC97" i="1"/>
  <c r="AC96" i="1"/>
  <c r="V34" i="18"/>
  <c r="U34" i="18"/>
  <c r="V58" i="18"/>
  <c r="U58" i="18"/>
  <c r="V60" i="18"/>
  <c r="U60" i="18"/>
  <c r="V58" i="1"/>
  <c r="U58" i="1"/>
  <c r="M124" i="9"/>
  <c r="M139" i="9"/>
  <c r="M136" i="9"/>
  <c r="P134" i="9"/>
  <c r="R134" i="9" s="1"/>
  <c r="T134" i="9" s="1"/>
  <c r="S57" i="7"/>
  <c r="Q124" i="9"/>
  <c r="N133" i="9"/>
  <c r="P133" i="9" s="1"/>
  <c r="P136" i="9"/>
  <c r="R136" i="9" s="1"/>
  <c r="S136" i="9" s="1"/>
  <c r="P123" i="9"/>
  <c r="R123" i="9" s="1"/>
  <c r="T123" i="9" s="1"/>
  <c r="R125" i="9"/>
  <c r="T125" i="9" s="1"/>
  <c r="O124" i="9"/>
  <c r="M125" i="9"/>
  <c r="N120" i="9"/>
  <c r="O120" i="9" s="1"/>
  <c r="R58" i="9"/>
  <c r="Q58" i="9"/>
  <c r="T59" i="9"/>
  <c r="S59" i="9"/>
  <c r="R59" i="8"/>
  <c r="Q59" i="8"/>
  <c r="R58" i="7"/>
  <c r="Q58" i="7"/>
  <c r="T59" i="7"/>
  <c r="S59" i="7"/>
  <c r="R122" i="9"/>
  <c r="S122" i="9" s="1"/>
  <c r="R140" i="9"/>
  <c r="T140" i="9" s="1"/>
  <c r="M140" i="9"/>
  <c r="O122" i="9"/>
  <c r="N129" i="9"/>
  <c r="O129" i="9" s="1"/>
  <c r="M121" i="9"/>
  <c r="N131" i="9"/>
  <c r="O131" i="9" s="1"/>
  <c r="O139" i="9"/>
  <c r="V61" i="18"/>
  <c r="U61" i="18"/>
  <c r="M122" i="9"/>
  <c r="M132" i="9"/>
  <c r="R137" i="9"/>
  <c r="S137" i="9" s="1"/>
  <c r="O140" i="9"/>
  <c r="O130" i="9"/>
  <c r="T57" i="9"/>
  <c r="V57" i="9" s="1"/>
  <c r="X57" i="9" s="1"/>
  <c r="Z57" i="9" s="1"/>
  <c r="AB57" i="9" s="1"/>
  <c r="AD57" i="9" s="1"/>
  <c r="AF57" i="9" s="1"/>
  <c r="AH57" i="9" s="1"/>
  <c r="AJ57" i="9" s="1"/>
  <c r="O137" i="9"/>
  <c r="N126" i="9"/>
  <c r="M126" i="9"/>
  <c r="R130" i="9"/>
  <c r="S130" i="9" s="1"/>
  <c r="M118" i="9"/>
  <c r="N128" i="9"/>
  <c r="P128" i="9" s="1"/>
  <c r="Q128" i="9" s="1"/>
  <c r="Q62" i="7"/>
  <c r="P118" i="9"/>
  <c r="R118" i="9" s="1"/>
  <c r="T118" i="9" s="1"/>
  <c r="M137" i="9"/>
  <c r="O125" i="9"/>
  <c r="M134"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Q135" i="9"/>
  <c r="O135" i="9"/>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2" i="9"/>
  <c r="O132" i="9"/>
  <c r="R54" i="9"/>
  <c r="T54" i="9" s="1"/>
  <c r="AE88" i="8"/>
  <c r="AE86" i="8"/>
  <c r="R139" i="9"/>
  <c r="Q139" i="9"/>
  <c r="R37" i="9"/>
  <c r="S37" i="9" s="1"/>
  <c r="T135" i="9"/>
  <c r="S135" i="9"/>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38" i="9"/>
  <c r="S138"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U48" i="26" l="1"/>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O25" i="24"/>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A16" i="23"/>
  <c r="D16" i="23"/>
  <c r="E16" i="23"/>
  <c r="C16" i="23"/>
  <c r="F16" i="23" s="1"/>
  <c r="V69" i="21"/>
  <c r="U69" i="21"/>
  <c r="X68" i="21"/>
  <c r="W68" i="21"/>
  <c r="X66" i="21"/>
  <c r="W66" i="21"/>
  <c r="W38" i="21"/>
  <c r="X38" i="21"/>
  <c r="V37" i="18"/>
  <c r="U37" i="18"/>
  <c r="U58" i="21"/>
  <c r="V58" i="21"/>
  <c r="X65" i="21"/>
  <c r="W65" i="21"/>
  <c r="X93" i="1"/>
  <c r="W93" i="1"/>
  <c r="Z96" i="21"/>
  <c r="Y96" i="21"/>
  <c r="X63" i="21"/>
  <c r="W63" i="21"/>
  <c r="P100" i="9"/>
  <c r="O100" i="9"/>
  <c r="N98" i="9"/>
  <c r="M98" i="9"/>
  <c r="N99" i="9"/>
  <c r="M99" i="9"/>
  <c r="T127" i="9"/>
  <c r="U127"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7" i="9"/>
  <c r="K23" i="9"/>
  <c r="X94" i="9"/>
  <c r="W94" i="9"/>
  <c r="AG93" i="8"/>
  <c r="AG60" i="8"/>
  <c r="AG61" i="8"/>
  <c r="AG92" i="8"/>
  <c r="AG45" i="8"/>
  <c r="AG46" i="8"/>
  <c r="AG87" i="8"/>
  <c r="X93" i="8"/>
  <c r="W93" i="8"/>
  <c r="AC93" i="7"/>
  <c r="AC60" i="7"/>
  <c r="AC61" i="7"/>
  <c r="AC92" i="7"/>
  <c r="AC46" i="7"/>
  <c r="AC87" i="7"/>
  <c r="X93" i="7"/>
  <c r="W93" i="7"/>
  <c r="Q127"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T93" i="9"/>
  <c r="S93" i="9"/>
  <c r="R50" i="9"/>
  <c r="Q50" i="9"/>
  <c r="T38" i="7"/>
  <c r="V38" i="7" s="1"/>
  <c r="X38" i="7" s="1"/>
  <c r="S125" i="9"/>
  <c r="P120" i="9"/>
  <c r="R120" i="9" s="1"/>
  <c r="X55" i="18"/>
  <c r="W55" i="18"/>
  <c r="AE87" i="1"/>
  <c r="AE97" i="1"/>
  <c r="AE96" i="1"/>
  <c r="AE98" i="1"/>
  <c r="S140"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37" i="9"/>
  <c r="U137" i="9" s="1"/>
  <c r="T136" i="9"/>
  <c r="U136" i="9" s="1"/>
  <c r="S134" i="9"/>
  <c r="O133" i="9"/>
  <c r="Q134" i="9"/>
  <c r="T122" i="9"/>
  <c r="U122" i="9" s="1"/>
  <c r="Q136" i="9"/>
  <c r="P129" i="9"/>
  <c r="R129" i="9" s="1"/>
  <c r="T129" i="9" s="1"/>
  <c r="T58" i="9"/>
  <c r="S58" i="9"/>
  <c r="V59" i="9"/>
  <c r="U59" i="9"/>
  <c r="T59" i="8"/>
  <c r="S59" i="8"/>
  <c r="V59" i="7"/>
  <c r="U59" i="7"/>
  <c r="T58" i="7"/>
  <c r="S58" i="7"/>
  <c r="P131" i="9"/>
  <c r="X61" i="18"/>
  <c r="W61" i="18"/>
  <c r="S118" i="9"/>
  <c r="Q119" i="9"/>
  <c r="U57" i="9"/>
  <c r="T130" i="9"/>
  <c r="U130" i="9" s="1"/>
  <c r="Q118" i="9"/>
  <c r="O119" i="9"/>
  <c r="O126" i="9"/>
  <c r="P126" i="9"/>
  <c r="O128" i="9"/>
  <c r="R128" i="9"/>
  <c r="T128" i="9" s="1"/>
  <c r="V128"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2" i="9"/>
  <c r="Q132" i="9"/>
  <c r="S54" i="9"/>
  <c r="T37" i="9"/>
  <c r="V37" i="9" s="1"/>
  <c r="AG88" i="8"/>
  <c r="AG86" i="8"/>
  <c r="T139" i="9"/>
  <c r="S139" i="9"/>
  <c r="V135" i="9"/>
  <c r="U135"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3" i="9"/>
  <c r="R133"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4" i="9"/>
  <c r="V134" i="9"/>
  <c r="U140" i="9"/>
  <c r="V140" i="9"/>
  <c r="U125" i="9"/>
  <c r="V125" i="9"/>
  <c r="U138" i="9"/>
  <c r="V138"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X48" i="26" l="1"/>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8"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G16" i="23"/>
  <c r="G10" i="23"/>
  <c r="G14" i="23"/>
  <c r="G11" i="23"/>
  <c r="G7" i="23"/>
  <c r="G8" i="23"/>
  <c r="G9" i="23"/>
  <c r="G15" i="23"/>
  <c r="G12" i="23"/>
  <c r="G13" i="23"/>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7" i="9"/>
  <c r="X127"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37" i="9"/>
  <c r="X137"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6" i="9"/>
  <c r="W136" i="9" s="1"/>
  <c r="V122" i="9"/>
  <c r="W122" i="9" s="1"/>
  <c r="S129" i="9"/>
  <c r="W36" i="7"/>
  <c r="Q129" i="9"/>
  <c r="V58" i="9"/>
  <c r="U58" i="9"/>
  <c r="X59" i="9"/>
  <c r="W59" i="9"/>
  <c r="V59" i="8"/>
  <c r="U59" i="8"/>
  <c r="X59" i="7"/>
  <c r="W59" i="7"/>
  <c r="V58" i="7"/>
  <c r="U58" i="7"/>
  <c r="Q131" i="9"/>
  <c r="R131" i="9"/>
  <c r="G37" i="17"/>
  <c r="V130" i="9"/>
  <c r="X130" i="9" s="1"/>
  <c r="Z61" i="18"/>
  <c r="Y61" i="18"/>
  <c r="U128" i="9"/>
  <c r="R126" i="9"/>
  <c r="Q126"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2" i="9"/>
  <c r="S132" i="9"/>
  <c r="AI88" i="8"/>
  <c r="AI86" i="8"/>
  <c r="V129" i="9"/>
  <c r="U129" i="9"/>
  <c r="V139" i="9"/>
  <c r="U139" i="9"/>
  <c r="X135" i="9"/>
  <c r="W135"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3" i="9"/>
  <c r="T133"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38" i="9"/>
  <c r="X138" i="9"/>
  <c r="W125" i="9"/>
  <c r="X125" i="9"/>
  <c r="W140" i="9"/>
  <c r="X140" i="9"/>
  <c r="W134" i="9"/>
  <c r="X134" i="9"/>
  <c r="X118" i="9"/>
  <c r="W118" i="9"/>
  <c r="X123" i="9"/>
  <c r="W123" i="9"/>
  <c r="X128" i="9"/>
  <c r="W128"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D33" i="7" l="1"/>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7"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6"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37"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6" i="9"/>
  <c r="Y136" i="9" s="1"/>
  <c r="AI59" i="1"/>
  <c r="AI58" i="1"/>
  <c r="AI87" i="1"/>
  <c r="AI98" i="1"/>
  <c r="AI97" i="1"/>
  <c r="AI96" i="1"/>
  <c r="AB58" i="1"/>
  <c r="AA58" i="1"/>
  <c r="AB60" i="18"/>
  <c r="AA60" i="18"/>
  <c r="AB59" i="1"/>
  <c r="AA59" i="1"/>
  <c r="AB58" i="18"/>
  <c r="AD58" i="18" s="1"/>
  <c r="AF58" i="18" s="1"/>
  <c r="AH58" i="18" s="1"/>
  <c r="AA58" i="18"/>
  <c r="G58" i="18" s="1"/>
  <c r="X58" i="9"/>
  <c r="W58" i="9"/>
  <c r="W130" i="9"/>
  <c r="Z59" i="9"/>
  <c r="Y59" i="9"/>
  <c r="X59" i="8"/>
  <c r="W59" i="8"/>
  <c r="Z59" i="7"/>
  <c r="Y59" i="7"/>
  <c r="X58" i="7"/>
  <c r="W58" i="7"/>
  <c r="S131" i="9"/>
  <c r="T131" i="9"/>
  <c r="O37" i="17"/>
  <c r="AB61" i="18"/>
  <c r="AA61" i="18"/>
  <c r="T126" i="9"/>
  <c r="S126"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2" i="9"/>
  <c r="AG119" i="9"/>
  <c r="AG128" i="9"/>
  <c r="AG136" i="9"/>
  <c r="AG130" i="9"/>
  <c r="AG123" i="9"/>
  <c r="AG107" i="9"/>
  <c r="AG47" i="9"/>
  <c r="AG83" i="9"/>
  <c r="AG79" i="9"/>
  <c r="AG75" i="9"/>
  <c r="AG68" i="9"/>
  <c r="AG55" i="9"/>
  <c r="AG44" i="9"/>
  <c r="AI31" i="9"/>
  <c r="AG129" i="9"/>
  <c r="AG91" i="9"/>
  <c r="AG140" i="9"/>
  <c r="AG134" i="9"/>
  <c r="AG127" i="9"/>
  <c r="AG122" i="9"/>
  <c r="AG57" i="9"/>
  <c r="AG70" i="9"/>
  <c r="AG66" i="9"/>
  <c r="AG82" i="9"/>
  <c r="AG78" i="9"/>
  <c r="AG74" i="9"/>
  <c r="AG65" i="9"/>
  <c r="AG54" i="9"/>
  <c r="AG139" i="9"/>
  <c r="AG53" i="9"/>
  <c r="AG138" i="9"/>
  <c r="AG133" i="9"/>
  <c r="AG125" i="9"/>
  <c r="AG121" i="9"/>
  <c r="AG81" i="9"/>
  <c r="AG77" i="9"/>
  <c r="AG73" i="9"/>
  <c r="AG51" i="9"/>
  <c r="AG41" i="9"/>
  <c r="AG48" i="9"/>
  <c r="AG135" i="9"/>
  <c r="AG120" i="9"/>
  <c r="AG137" i="9"/>
  <c r="AG131" i="9"/>
  <c r="AG124" i="9"/>
  <c r="AG118" i="9"/>
  <c r="AG52" i="9"/>
  <c r="AG71" i="9"/>
  <c r="AG84" i="9"/>
  <c r="AG80" i="9"/>
  <c r="AG76" i="9"/>
  <c r="AG69" i="9"/>
  <c r="AG56" i="9"/>
  <c r="AG50" i="9"/>
  <c r="V132" i="9"/>
  <c r="U132" i="9"/>
  <c r="AK88" i="8"/>
  <c r="G88" i="8" s="1"/>
  <c r="AK86" i="8"/>
  <c r="G86" i="8" s="1"/>
  <c r="X129" i="9"/>
  <c r="W129" i="9"/>
  <c r="X139" i="9"/>
  <c r="W139" i="9"/>
  <c r="Z135" i="9"/>
  <c r="Y135"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3" i="9"/>
  <c r="U133"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8" i="9"/>
  <c r="Y128" i="9"/>
  <c r="Y123" i="9"/>
  <c r="Z123" i="9"/>
  <c r="Z118" i="9"/>
  <c r="Y118" i="9"/>
  <c r="Z127" i="9"/>
  <c r="Y127" i="9"/>
  <c r="Z134" i="9"/>
  <c r="Y134" i="9"/>
  <c r="Z140" i="9"/>
  <c r="Y140" i="9"/>
  <c r="Z125" i="9"/>
  <c r="Y125" i="9"/>
  <c r="Z138" i="9"/>
  <c r="Y138" i="9"/>
  <c r="Z124" i="9"/>
  <c r="Y124" i="9"/>
  <c r="Z137" i="9"/>
  <c r="Y137" i="9"/>
  <c r="Z130" i="9"/>
  <c r="Y130"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B38" i="9" l="1"/>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6"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6" i="9"/>
  <c r="AB136"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1" i="9"/>
  <c r="V131" i="9"/>
  <c r="R37" i="17"/>
  <c r="Q37" i="17"/>
  <c r="AC61" i="18"/>
  <c r="G61" i="18" s="1"/>
  <c r="AD61" i="18"/>
  <c r="AF61" i="18" s="1"/>
  <c r="AH61" i="18" s="1"/>
  <c r="U126" i="9"/>
  <c r="V126"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2" i="9"/>
  <c r="AI139" i="9"/>
  <c r="AI120" i="9"/>
  <c r="AI137" i="9"/>
  <c r="AI131" i="9"/>
  <c r="AI124" i="9"/>
  <c r="AI118" i="9"/>
  <c r="AI53" i="9"/>
  <c r="AI70" i="9"/>
  <c r="AI84" i="9"/>
  <c r="AI80" i="9"/>
  <c r="AI76" i="9"/>
  <c r="AI69" i="9"/>
  <c r="AI55" i="9"/>
  <c r="AI44" i="9"/>
  <c r="AI39" i="9"/>
  <c r="AI33" i="9"/>
  <c r="AI32" i="9"/>
  <c r="AI135" i="9"/>
  <c r="AI128" i="9"/>
  <c r="AI136" i="9"/>
  <c r="AI130" i="9"/>
  <c r="AI123" i="9"/>
  <c r="AI107" i="9"/>
  <c r="AI83" i="9"/>
  <c r="AI79" i="9"/>
  <c r="AI75" i="9"/>
  <c r="AI68" i="9"/>
  <c r="AI54" i="9"/>
  <c r="AI42" i="9"/>
  <c r="AI38" i="9"/>
  <c r="AI56" i="9"/>
  <c r="AK31" i="9"/>
  <c r="AI119" i="9"/>
  <c r="AI140" i="9"/>
  <c r="AI134" i="9"/>
  <c r="AI127" i="9"/>
  <c r="AI122" i="9"/>
  <c r="AI57" i="9"/>
  <c r="AI71" i="9"/>
  <c r="AI66" i="9"/>
  <c r="AI82" i="9"/>
  <c r="AI78" i="9"/>
  <c r="AI74" i="9"/>
  <c r="AI65" i="9"/>
  <c r="AI51" i="9"/>
  <c r="AI41" i="9"/>
  <c r="AI37" i="9"/>
  <c r="AI49" i="9"/>
  <c r="AI129" i="9"/>
  <c r="AI91" i="9"/>
  <c r="AI138" i="9"/>
  <c r="AI133" i="9"/>
  <c r="AI125" i="9"/>
  <c r="AI121" i="9"/>
  <c r="AI52" i="9"/>
  <c r="AI47" i="9"/>
  <c r="AI81" i="9"/>
  <c r="AI77" i="9"/>
  <c r="AI73" i="9"/>
  <c r="AI64" i="9"/>
  <c r="AI50" i="9"/>
  <c r="AI40" i="9"/>
  <c r="AI36" i="9"/>
  <c r="AI48" i="9"/>
  <c r="X132" i="9"/>
  <c r="W132" i="9"/>
  <c r="Z129" i="9"/>
  <c r="Y129" i="9"/>
  <c r="Z139" i="9"/>
  <c r="Y139" i="9"/>
  <c r="AB135" i="9"/>
  <c r="AA135"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3" i="9"/>
  <c r="W133"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0" i="9"/>
  <c r="AB130" i="9"/>
  <c r="AA137" i="9"/>
  <c r="AB137" i="9"/>
  <c r="AA124" i="9"/>
  <c r="AB124" i="9"/>
  <c r="AA138" i="9"/>
  <c r="AB138" i="9"/>
  <c r="AA125" i="9"/>
  <c r="AB125" i="9"/>
  <c r="AA140" i="9"/>
  <c r="AB140" i="9"/>
  <c r="AA134" i="9"/>
  <c r="AB134" i="9"/>
  <c r="AA127" i="9"/>
  <c r="AB127" i="9"/>
  <c r="AB118" i="9"/>
  <c r="AA118" i="9"/>
  <c r="AB128" i="9"/>
  <c r="AA128"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H33" i="7" l="1"/>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G113" i="9" s="1"/>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6" i="9"/>
  <c r="AK88" i="9"/>
  <c r="G88" i="9" s="1"/>
  <c r="AK93" i="7"/>
  <c r="G93" i="7" s="1"/>
  <c r="AK60" i="7"/>
  <c r="G60" i="7" s="1"/>
  <c r="AK61" i="7"/>
  <c r="G61" i="7" s="1"/>
  <c r="AK92" i="7"/>
  <c r="AK59" i="7"/>
  <c r="AK58" i="7"/>
  <c r="AK46" i="7"/>
  <c r="G46" i="7" s="1"/>
  <c r="AK87" i="7"/>
  <c r="G87" i="7" s="1"/>
  <c r="AA136"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1" i="9"/>
  <c r="X131" i="9"/>
  <c r="T37" i="17"/>
  <c r="S37" i="17"/>
  <c r="X126" i="9"/>
  <c r="W126"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2" i="9"/>
  <c r="AK129" i="9"/>
  <c r="AK91" i="9"/>
  <c r="G91" i="9" s="1"/>
  <c r="AK53" i="9"/>
  <c r="G53" i="9" s="1"/>
  <c r="AK138" i="9"/>
  <c r="AK133" i="9"/>
  <c r="AK125" i="9"/>
  <c r="AK121" i="9"/>
  <c r="AK66" i="9"/>
  <c r="G66" i="9" s="1"/>
  <c r="AK82" i="9"/>
  <c r="G82" i="9" s="1"/>
  <c r="AK78" i="9"/>
  <c r="G78" i="9" s="1"/>
  <c r="AK74" i="9"/>
  <c r="G74" i="9" s="1"/>
  <c r="AK65" i="9"/>
  <c r="G65" i="9" s="1"/>
  <c r="AK54" i="9"/>
  <c r="G54" i="9" s="1"/>
  <c r="AK42" i="9"/>
  <c r="AK38" i="9"/>
  <c r="AK49" i="9"/>
  <c r="AK139" i="9"/>
  <c r="AK120" i="9"/>
  <c r="AK137" i="9"/>
  <c r="AK131" i="9"/>
  <c r="AK124" i="9"/>
  <c r="AK118" i="9"/>
  <c r="AK52" i="9"/>
  <c r="G52" i="9" s="1"/>
  <c r="AK71" i="9"/>
  <c r="AK81" i="9"/>
  <c r="G81" i="9" s="1"/>
  <c r="AK77" i="9"/>
  <c r="G77" i="9" s="1"/>
  <c r="AK73" i="9"/>
  <c r="G73" i="9" s="1"/>
  <c r="AK64" i="9"/>
  <c r="AK51" i="9"/>
  <c r="G51" i="9" s="1"/>
  <c r="AK41" i="9"/>
  <c r="G41" i="9" s="1"/>
  <c r="AK37" i="9"/>
  <c r="AK48" i="9"/>
  <c r="G48" i="9" s="1"/>
  <c r="AK135" i="9"/>
  <c r="AK128" i="9"/>
  <c r="AK136" i="9"/>
  <c r="AK130" i="9"/>
  <c r="AK123" i="9"/>
  <c r="AK107" i="9"/>
  <c r="G107" i="9" s="1"/>
  <c r="AK47" i="9"/>
  <c r="G47" i="9" s="1"/>
  <c r="AK84" i="9"/>
  <c r="G84" i="9" s="1"/>
  <c r="AK80" i="9"/>
  <c r="G80" i="9" s="1"/>
  <c r="AK76" i="9"/>
  <c r="G76" i="9" s="1"/>
  <c r="AK69" i="9"/>
  <c r="AK56" i="9"/>
  <c r="G56" i="9" s="1"/>
  <c r="AK50" i="9"/>
  <c r="AK40" i="9"/>
  <c r="AK36" i="9"/>
  <c r="AK32" i="9"/>
  <c r="AK119" i="9"/>
  <c r="AK140" i="9"/>
  <c r="AK134" i="9"/>
  <c r="AK127" i="9"/>
  <c r="AK122" i="9"/>
  <c r="AK57" i="9"/>
  <c r="G57" i="9" s="1"/>
  <c r="AK70" i="9"/>
  <c r="G70" i="9" s="1"/>
  <c r="AK83" i="9"/>
  <c r="G83" i="9" s="1"/>
  <c r="AK79" i="9"/>
  <c r="G79" i="9" s="1"/>
  <c r="AK75" i="9"/>
  <c r="G75" i="9" s="1"/>
  <c r="AK68" i="9"/>
  <c r="G68" i="9" s="1"/>
  <c r="AK55" i="9"/>
  <c r="G55" i="9" s="1"/>
  <c r="AK44" i="9"/>
  <c r="G44" i="9" s="1"/>
  <c r="AK39" i="9"/>
  <c r="AK33" i="9"/>
  <c r="G33" i="9" s="1"/>
  <c r="G32" i="9"/>
  <c r="AK87" i="9"/>
  <c r="G87" i="9" s="1"/>
  <c r="Z132" i="9"/>
  <c r="Y132" i="9"/>
  <c r="AB129" i="9"/>
  <c r="AA129" i="9"/>
  <c r="AB139" i="9"/>
  <c r="AA139" i="9"/>
  <c r="AD135" i="9"/>
  <c r="AC135"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3" i="9"/>
  <c r="Z133"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8" i="9"/>
  <c r="AC128" i="9"/>
  <c r="AD118" i="9"/>
  <c r="AC118" i="9"/>
  <c r="AD127" i="9"/>
  <c r="AC127" i="9"/>
  <c r="AD134" i="9"/>
  <c r="AC134" i="9"/>
  <c r="AD140" i="9"/>
  <c r="AC140" i="9"/>
  <c r="AD125" i="9"/>
  <c r="AC125" i="9"/>
  <c r="AD138" i="9"/>
  <c r="AC138" i="9"/>
  <c r="AD124" i="9"/>
  <c r="AC124" i="9"/>
  <c r="AD137" i="9"/>
  <c r="AC137" i="9"/>
  <c r="AD130" i="9"/>
  <c r="AC130" i="9"/>
  <c r="AD136" i="9"/>
  <c r="AC136"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AF38" i="9" l="1"/>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1" i="9"/>
  <c r="Y131" i="9"/>
  <c r="Y126" i="9"/>
  <c r="Z126"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G40" i="9"/>
  <c r="AB132" i="9"/>
  <c r="AA132" i="9"/>
  <c r="AD129" i="9"/>
  <c r="AC129" i="9"/>
  <c r="AD139" i="9"/>
  <c r="AC139" i="9"/>
  <c r="AF135" i="9"/>
  <c r="AH135" i="9" s="1"/>
  <c r="AJ135" i="9" s="1"/>
  <c r="AE135" i="9"/>
  <c r="G135"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3" i="9"/>
  <c r="AA133"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6" i="9"/>
  <c r="AH136" i="9" s="1"/>
  <c r="AJ136" i="9" s="1"/>
  <c r="AE136" i="9"/>
  <c r="G136" i="9" s="1"/>
  <c r="AF130" i="9"/>
  <c r="AH130" i="9" s="1"/>
  <c r="AJ130" i="9" s="1"/>
  <c r="AE130" i="9"/>
  <c r="G130" i="9" s="1"/>
  <c r="AF137" i="9"/>
  <c r="AH137" i="9" s="1"/>
  <c r="AJ137" i="9" s="1"/>
  <c r="AE137" i="9"/>
  <c r="G137" i="9" s="1"/>
  <c r="AF124" i="9"/>
  <c r="AH124" i="9" s="1"/>
  <c r="AJ124" i="9" s="1"/>
  <c r="AE124" i="9"/>
  <c r="G124" i="9" s="1"/>
  <c r="AF138" i="9"/>
  <c r="AH138" i="9" s="1"/>
  <c r="AJ138" i="9" s="1"/>
  <c r="AE138" i="9"/>
  <c r="G138" i="9" s="1"/>
  <c r="AF125" i="9"/>
  <c r="AH125" i="9" s="1"/>
  <c r="AJ125" i="9" s="1"/>
  <c r="AE125" i="9"/>
  <c r="G125" i="9" s="1"/>
  <c r="AF140" i="9"/>
  <c r="AH140" i="9" s="1"/>
  <c r="AJ140" i="9" s="1"/>
  <c r="AE140" i="9"/>
  <c r="G140" i="9" s="1"/>
  <c r="AF134" i="9"/>
  <c r="AH134" i="9" s="1"/>
  <c r="AJ134" i="9" s="1"/>
  <c r="AE134" i="9"/>
  <c r="G134" i="9" s="1"/>
  <c r="AF127" i="9"/>
  <c r="AH127" i="9" s="1"/>
  <c r="AJ127" i="9" s="1"/>
  <c r="AE127" i="9"/>
  <c r="G127" i="9" s="1"/>
  <c r="AF118" i="9"/>
  <c r="AH118" i="9" s="1"/>
  <c r="AJ118" i="9" s="1"/>
  <c r="AE118" i="9"/>
  <c r="G118" i="9" s="1"/>
  <c r="AF128" i="9"/>
  <c r="AH128" i="9" s="1"/>
  <c r="AJ128" i="9" s="1"/>
  <c r="AE128" i="9"/>
  <c r="G128"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H38" i="1" l="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1" i="9"/>
  <c r="AB131" i="9"/>
  <c r="AB126" i="9"/>
  <c r="AA126"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2" i="9"/>
  <c r="AC132" i="9"/>
  <c r="AF129" i="9"/>
  <c r="AH129" i="9" s="1"/>
  <c r="AJ129" i="9" s="1"/>
  <c r="AE129" i="9"/>
  <c r="G129" i="9" s="1"/>
  <c r="AF139" i="9"/>
  <c r="AH139" i="9" s="1"/>
  <c r="AJ139" i="9" s="1"/>
  <c r="AE139" i="9"/>
  <c r="G139"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3" i="9"/>
  <c r="AC133"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F33" i="26" l="1"/>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1" i="9"/>
  <c r="AD131" i="9"/>
  <c r="Z37" i="17"/>
  <c r="Y37" i="17"/>
  <c r="AC126" i="9"/>
  <c r="AD126"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2" i="9"/>
  <c r="AH132" i="9" s="1"/>
  <c r="AJ132" i="9" s="1"/>
  <c r="AE132" i="9"/>
  <c r="G132" i="9" s="1"/>
  <c r="Z69" i="17"/>
  <c r="Y69" i="17"/>
  <c r="AB76" i="17"/>
  <c r="AA76" i="17"/>
  <c r="AB118" i="17"/>
  <c r="AA118" i="17"/>
  <c r="Z24" i="17"/>
  <c r="Y24" i="17"/>
  <c r="AD71" i="17"/>
  <c r="AC71" i="17"/>
  <c r="AC123" i="17"/>
  <c r="AD123" i="17"/>
  <c r="AB117" i="17"/>
  <c r="AA117" i="17"/>
  <c r="AE28" i="17"/>
  <c r="AF28" i="17"/>
  <c r="AG109" i="17"/>
  <c r="AH109" i="17"/>
  <c r="AF133" i="9"/>
  <c r="AH133" i="9" s="1"/>
  <c r="AJ133" i="9" s="1"/>
  <c r="AE133" i="9"/>
  <c r="G133"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H33" i="26" l="1"/>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1" i="9"/>
  <c r="AH131" i="9" s="1"/>
  <c r="AJ131" i="9" s="1"/>
  <c r="AE131" i="9"/>
  <c r="G131" i="9" s="1"/>
  <c r="AF126" i="9"/>
  <c r="AH126" i="9" s="1"/>
  <c r="AJ126" i="9" s="1"/>
  <c r="AE126" i="9"/>
  <c r="G126"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<sst xmlns="http://schemas.openxmlformats.org/spreadsheetml/2006/main" count="3039" uniqueCount="1878">
  <si>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</si>
  <si>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</si>
  <si>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</si>
  <si>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</si>
  <si>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</si>
  <si>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</si>
  <si>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</si>
  <si>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</si>
  <si>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</si>
  <si>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</si>
  <si>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</si>
  <si>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</si>
  <si>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</si>
  <si>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</si>
  <si>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</si>
  <si>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</si>
  <si>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</si>
  <si>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</si>
  <si>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</si>
  <si>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</si>
  <si>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</si>
  <si>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</si>
  <si>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</si>
  <si>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</si>
  <si>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</si>
  <si>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</si>
  <si>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</si>
  <si>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</si>
  <si>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</si>
  <si>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</si>
  <si>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</si>
  <si>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</si>
  <si>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</si>
  <si>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</si>
  <si>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</si>
  <si>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</si>
  <si>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</si>
  <si>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</si>
  <si>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</si>
  <si>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</si>
  <si>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</si>
  <si>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</si>
  <si>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</si>
  <si>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</si>
  <si>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</si>
  <si>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</si>
  <si>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</si>
  <si>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</si>
  <si>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</si>
  <si>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</si>
  <si>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</si>
  <si>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</si>
  <si>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</si>
  <si>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</si>
  <si>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</si>
  <si>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</si>
  <si>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</si>
  <si>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</si>
  <si>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</si>
  <si>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</si>
  <si>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</si>
  <si>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</si>
  <si>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</si>
  <si>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</si>
  <si>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</si>
  <si>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</si>
  <si>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</si>
  <si>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</si>
  <si>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</si>
  <si>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</si>
  <si>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</si>
  <si>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</si>
  <si>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</si>
  <si>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</si>
  <si>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</si>
  <si>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</si>
  <si>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</si>
  <si>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</si>
  <si>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</si>
  <si>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</si>
  <si>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</si>
  <si>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</si>
  <si>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</si>
  <si>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</si>
  <si>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</si>
  <si>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</si>
  <si>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</si>
  <si>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</si>
  <si>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</si>
  <si>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</si>
  <si>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</si>
  <si>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</si>
  <si>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</si>
  <si>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</si>
  <si>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</si>
  <si>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</si>
  <si>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</si>
  <si>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</si>
  <si>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</si>
  <si>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</si>
  <si>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</si>
  <si>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</si>
  <si>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</si>
  <si>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</si>
  <si>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</si>
  <si>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</si>
  <si>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</si>
  <si>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</si>
  <si>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</si>
  <si>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</si>
  <si>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</si>
  <si>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</si>
  <si>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</si>
  <si>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</si>
  <si>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</si>
  <si>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</si>
  <si>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</si>
  <si>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</si>
  <si>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</si>
  <si>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</si>
  <si>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</si>
  <si>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</si>
  <si>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</si>
  <si>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</si>
  <si>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</si>
  <si>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</si>
  <si>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</si>
  <si>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</si>
  <si>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</si>
  <si>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</si>
  <si>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</si>
  <si>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</si>
  <si>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</si>
  <si>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</si>
  <si>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</si>
  <si>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</si>
  <si>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</si>
  <si>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</si>
  <si>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</si>
  <si>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</si>
  <si>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</si>
  <si>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</si>
  <si>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</si>
  <si>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</si>
  <si>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</si>
  <si>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</si>
  <si>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</si>
  <si>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</si>
  <si>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</si>
  <si>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</si>
  <si>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</si>
  <si>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</si>
  <si>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</si>
  <si>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</si>
  <si>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</si>
  <si>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</si>
  <si>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</si>
  <si>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</si>
  <si>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</si>
  <si>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</si>
  <si>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</si>
  <si>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</si>
  <si>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</si>
  <si>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</si>
  <si>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</si>
  <si>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</si>
  <si>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</si>
  <si>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</si>
  <si>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</si>
  <si>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</si>
  <si>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</si>
  <si>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</si>
  <si>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</si>
  <si>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</si>
  <si>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</si>
  <si>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</si>
  <si>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</si>
  <si>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</si>
  <si>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</si>
  <si>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</si>
  <si>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</si>
  <si>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</si>
  <si>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</si>
  <si>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</si>
  <si>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</si>
  <si>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</si>
  <si>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</si>
  <si>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</si>
  <si>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</si>
  <si>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</si>
  <si>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</si>
  <si>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</si>
  <si>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</si>
  <si>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</si>
  <si>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</si>
  <si>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</si>
  <si>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</si>
  <si>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</si>
  <si>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</si>
  <si>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</si>
  <si>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</si>
  <si>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</si>
  <si>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</si>
  <si>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</si>
  <si>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</si>
  <si>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</si>
  <si>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</si>
  <si>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</si>
  <si>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</si>
  <si>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</si>
  <si>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</si>
  <si>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</si>
  <si>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</si>
  <si>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</si>
  <si>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</si>
  <si>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</si>
  <si>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</si>
  <si>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</si>
  <si>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</si>
  <si>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</si>
  <si>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</si>
  <si>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</si>
  <si>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</si>
  <si>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</si>
  <si>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</si>
  <si>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</si>
  <si>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</si>
  <si>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</si>
  <si>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</si>
  <si>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</si>
  <si>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</si>
  <si>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</si>
  <si>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</si>
  <si>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</si>
  <si>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</si>
  <si>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</si>
  <si>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</si>
  <si>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</si>
  <si>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</si>
  <si>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</si>
  <si>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</si>
  <si>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</si>
  <si>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</si>
  <si>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</si>
  <si>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</si>
  <si>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</si>
  <si>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</si>
  <si>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</si>
  <si>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</si>
  <si>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</si>
  <si>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</si>
  <si>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</si>
  <si>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</si>
  <si>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</si>
  <si>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</si>
  <si>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</si>
  <si>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</si>
  <si>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</si>
  <si>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</si>
  <si>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</si>
  <si>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</si>
  <si>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</si>
  <si>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</si>
  <si>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</si>
  <si>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</si>
  <si>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</si>
  <si>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</si>
  <si>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</si>
  <si>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</si>
  <si>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</si>
  <si>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</si>
  <si>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</si>
  <si>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</si>
  <si>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</si>
  <si>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</si>
  <si>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</si>
  <si>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</si>
  <si>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</si>
  <si>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</si>
  <si>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</si>
  <si>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</si>
  <si>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</si>
  <si>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</si>
  <si>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</si>
  <si>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</si>
  <si>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</si>
  <si>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</si>
  <si>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</si>
  <si>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</si>
  <si>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</si>
  <si>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</si>
  <si>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</si>
  <si>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</si>
  <si>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</si>
  <si>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</si>
  <si>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</si>
  <si>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</si>
  <si>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</si>
  <si>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</si>
  <si>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</si>
  <si>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</si>
  <si>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</si>
  <si>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</si>
  <si>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</si>
  <si>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</si>
  <si>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</si>
  <si>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</si>
  <si>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</si>
  <si>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</si>
  <si>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</si>
  <si>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</si>
  <si>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</si>
  <si>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</si>
  <si>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</si>
  <si>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</si>
  <si>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</si>
  <si>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</si>
  <si>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</si>
  <si>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</si>
  <si>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</si>
  <si>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</si>
  <si>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</si>
  <si>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</si>
  <si>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</si>
  <si>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</si>
  <si>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</si>
  <si>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</si>
  <si>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</si>
  <si>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</si>
  <si>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</si>
  <si>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</si>
  <si>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</si>
  <si>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</si>
  <si>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</si>
  <si>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</si>
  <si>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</si>
  <si>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</si>
  <si>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</si>
  <si>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</si>
  <si>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</si>
  <si>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</si>
  <si>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</si>
  <si>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</si>
  <si>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</si>
  <si>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</si>
  <si>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</si>
  <si>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</si>
  <si>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</si>
  <si>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</si>
  <si>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</si>
  <si>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</si>
  <si>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</si>
  <si>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</si>
  <si>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</si>
  <si>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</si>
  <si>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</si>
  <si>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</si>
  <si>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</si>
  <si>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</si>
  <si>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</si>
  <si>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</si>
  <si>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</si>
  <si>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</si>
  <si>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</si>
  <si>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</si>
  <si>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</si>
  <si>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</si>
  <si>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</si>
  <si>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</si>
  <si>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</si>
  <si>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</si>
  <si>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</si>
  <si>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</si>
  <si>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</si>
  <si>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</si>
  <si>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</si>
  <si>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</si>
  <si>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</si>
  <si>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</si>
  <si>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</si>
  <si>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</si>
  <si>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</si>
  <si>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</si>
  <si>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</si>
  <si>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</si>
  <si>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</si>
  <si>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</si>
  <si>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</si>
  <si>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</si>
  <si>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</si>
  <si>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</si>
  <si>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</si>
  <si>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</si>
  <si>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</si>
  <si>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</si>
  <si>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</si>
  <si>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</si>
  <si>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</si>
  <si>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</si>
  <si>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</si>
  <si>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</si>
  <si>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</si>
  <si>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</si>
  <si>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</si>
  <si>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</si>
  <si>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</si>
  <si>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</si>
  <si>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</si>
  <si>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</si>
  <si>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</si>
  <si>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</si>
  <si>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</si>
  <si>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</si>
  <si>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</si>
  <si>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</si>
  <si>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</si>
  <si>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</si>
  <si>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</si>
  <si>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</si>
  <si>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</si>
  <si>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</si>
  <si>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</si>
  <si>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</si>
  <si>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</si>
  <si>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</si>
  <si>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</si>
  <si>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</si>
  <si>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</si>
  <si>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</si>
  <si>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</si>
  <si>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</si>
  <si>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</si>
  <si>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</si>
  <si>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</si>
  <si>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</si>
  <si>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</si>
  <si>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</si>
  <si>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</si>
  <si>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</si>
  <si>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</si>
  <si>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</si>
  <si>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</si>
  <si>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</si>
  <si>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</si>
  <si>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</si>
  <si>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</si>
  <si>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</si>
  <si>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</si>
  <si>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</si>
  <si>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</si>
  <si>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</si>
  <si>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</si>
  <si>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</si>
  <si>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</si>
  <si>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</si>
  <si>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</si>
  <si>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</si>
  <si>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</si>
  <si>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</si>
  <si>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</si>
  <si>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</si>
  <si>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</si>
  <si>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</si>
  <si>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</si>
  <si>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</si>
  <si>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</si>
  <si>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</si>
  <si>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</si>
  <si>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</si>
  <si>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</si>
  <si>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</si>
  <si>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</si>
  <si>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</si>
  <si>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</si>
  <si>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</si>
  <si>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</si>
  <si>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</si>
  <si>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</si>
  <si>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</si>
  <si>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</si>
  <si>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</si>
  <si>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</si>
  <si>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</si>
  <si>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</si>
  <si>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</si>
  <si>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</si>
  <si>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</si>
  <si>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</si>
  <si>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</si>
  <si>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</si>
  <si>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</si>
  <si>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</si>
  <si>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</si>
  <si>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</si>
  <si>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</si>
  <si>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</si>
  <si>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</si>
  <si>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</si>
  <si>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</si>
  <si>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</si>
  <si>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</si>
  <si>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</si>
  <si>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</si>
  <si>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</si>
  <si>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</si>
  <si>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</si>
  <si>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</si>
  <si>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</si>
  <si>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</si>
  <si>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</si>
  <si>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</si>
  <si>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</si>
  <si>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</si>
  <si>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</si>
  <si>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</si>
  <si>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</si>
  <si>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</si>
  <si>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</si>
  <si>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</si>
  <si>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</si>
  <si>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</si>
  <si>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</si>
  <si>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</si>
  <si>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</si>
  <si>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</si>
  <si>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</si>
  <si>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</si>
  <si>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</si>
  <si>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</si>
  <si>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</si>
  <si>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</si>
  <si>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</si>
  <si>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</si>
  <si>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</si>
  <si>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</si>
  <si>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</si>
  <si>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</si>
  <si>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</si>
  <si>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</si>
  <si>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</si>
  <si>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</si>
  <si>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</si>
  <si>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</si>
  <si>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</si>
  <si>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</si>
  <si>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</si>
  <si>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</si>
  <si>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</si>
  <si>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</si>
  <si>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</si>
  <si>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</si>
  <si>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</si>
  <si>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</si>
  <si>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</si>
  <si>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</si>
  <si>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</si>
  <si>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</si>
  <si>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</si>
  <si>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</si>
  <si>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</si>
  <si>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</si>
  <si>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</si>
  <si>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</si>
  <si>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</si>
  <si>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</si>
  <si>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</si>
  <si>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</si>
  <si>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</si>
  <si>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</si>
  <si>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</si>
  <si>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</si>
  <si>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</si>
  <si>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</si>
  <si>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</si>
  <si>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</si>
  <si>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</si>
  <si>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</si>
  <si>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</si>
  <si>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</si>
  <si>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</si>
  <si>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</si>
  <si>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</si>
  <si>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</si>
  <si>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</si>
  <si>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</si>
  <si>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</si>
  <si>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</si>
  <si>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</si>
  <si>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</si>
  <si>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</si>
  <si>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</si>
  <si>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</si>
  <si>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</si>
  <si>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</si>
  <si>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</si>
  <si>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</si>
  <si>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</si>
  <si>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</si>
  <si>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</si>
  <si>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</si>
  <si>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</si>
  <si>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</si>
  <si>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</si>
  <si>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</si>
  <si>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</si>
  <si>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</si>
  <si>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</si>
  <si>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</si>
  <si>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</si>
  <si>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</si>
  <si>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</si>
  <si>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</si>
  <si>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</si>
  <si>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</si>
  <si>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</si>
  <si>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</si>
  <si>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</si>
  <si>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</si>
  <si>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</si>
  <si>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</si>
  <si>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</si>
  <si>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</si>
  <si>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</si>
  <si>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</si>
  <si>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</si>
  <si>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</si>
  <si>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</si>
  <si>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</si>
  <si>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</si>
  <si>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</si>
  <si>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</si>
  <si>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</si>
  <si>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</si>
  <si>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</si>
  <si>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</si>
  <si>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</si>
  <si>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</si>
  <si>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</si>
  <si>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</si>
  <si>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</si>
  <si>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</si>
  <si>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</si>
  <si>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</si>
  <si>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</si>
  <si>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</si>
  <si>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</si>
  <si>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</si>
  <si>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</si>
  <si>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</si>
  <si>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</si>
  <si>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</si>
  <si>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</si>
  <si>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</si>
  <si>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</si>
  <si>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</si>
  <si>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</si>
  <si>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</si>
  <si>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</si>
  <si>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</si>
  <si>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</si>
  <si>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</si>
  <si>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mol_n/s</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</si>
  <si>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</si>
  <si>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</si>
  <si>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</si>
  <si>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</si>
  <si>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</si>
  <si>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</si>
  <si>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</si>
  <si>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</si>
  <si>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</si>
  <si>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</si>
  <si>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</si>
  <si>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</si>
  <si>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</si>
  <si>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</si>
  <si>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</si>
  <si>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</si>
  <si>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</si>
  <si>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</si>
  <si>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</si>
  <si>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</si>
  <si>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</si>
  <si>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</si>
  <si>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</si>
  <si>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</si>
  <si>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</si>
  <si>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</si>
  <si>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</si>
  <si>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</si>
  <si>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</si>
  <si>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</si>
  <si>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</si>
  <si>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</si>
  <si>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</si>
  <si>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</si>
  <si>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</si>
  <si>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</si>
  <si>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</si>
  <si>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</si>
  <si>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</si>
  <si>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</si>
  <si>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</si>
  <si>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</si>
  <si>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</si>
  <si>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</si>
  <si>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</si>
  <si>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</si>
  <si>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</si>
  <si>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</si>
  <si>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</si>
  <si>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</si>
  <si>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</si>
  <si>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</si>
  <si>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</si>
  <si>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</si>
  <si>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</si>
  <si>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</si>
  <si>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</si>
  <si>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</si>
  <si>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</si>
  <si>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</si>
  <si>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</si>
  <si>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</si>
  <si>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</si>
  <si>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</si>
  <si>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</si>
  <si>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</si>
  <si>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</si>
  <si>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</si>
  <si>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</si>
  <si>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</si>
  <si>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</si>
  <si>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</si>
  <si>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</si>
  <si>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</si>
  <si>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</si>
  <si>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</si>
  <si>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</si>
  <si>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</si>
  <si>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</si>
  <si>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</si>
  <si>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</si>
  <si>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</si>
  <si>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</si>
  <si>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</si>
  <si>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</si>
  <si>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</si>
  <si>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</si>
  <si>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</si>
  <si>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</si>
  <si>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</si>
  <si>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</si>
  <si>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</si>
  <si>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</si>
  <si>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</si>
  <si>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</si>
  <si>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</si>
  <si>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</si>
  <si>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</si>
  <si>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</si>
  <si>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</si>
  <si>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</si>
  <si>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</si>
  <si>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</si>
  <si>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</si>
  <si>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</si>
  <si>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</si>
  <si>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</si>
  <si>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</si>
  <si>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</si>
  <si>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</si>
  <si>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</si>
  <si>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</si>
  <si>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</si>
  <si>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</si>
  <si>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</si>
  <si>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</si>
  <si>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</si>
  <si>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</si>
  <si>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</si>
  <si>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</si>
  <si>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</si>
  <si>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</si>
  <si>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</si>
  <si>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</si>
  <si>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</si>
  <si>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</si>
  <si>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</si>
  <si>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</si>
  <si>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</si>
  <si>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</si>
  <si>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</si>
  <si>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</si>
  <si>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</si>
  <si>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</si>
  <si>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</si>
  <si>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</si>
  <si>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</si>
  <si>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</si>
  <si>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</si>
  <si>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</si>
  <si>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</si>
  <si>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</si>
  <si>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</si>
  <si>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</si>
  <si>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</si>
  <si>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</si>
  <si>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</si>
  <si>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</si>
  <si>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</si>
  <si>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</si>
  <si>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</si>
  <si>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</si>
  <si>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</si>
  <si>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</si>
  <si>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</si>
  <si>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</si>
  <si>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</si>
  <si>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</si>
  <si>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</si>
  <si>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</si>
  <si>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</si>
  <si>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</si>
  <si>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</si>
  <si>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</si>
  <si>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</si>
  <si>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</si>
  <si>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</si>
  <si>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</si>
  <si>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</si>
  <si>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</si>
  <si>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</si>
  <si>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</si>
  <si>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</si>
  <si>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</si>
  <si>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</si>
  <si>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</si>
  <si>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</si>
  <si>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</si>
  <si>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</si>
  <si>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</si>
  <si>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</si>
  <si>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</si>
  <si>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</si>
  <si>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</si>
  <si>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</si>
  <si>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</si>
  <si>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</si>
  <si>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</si>
  <si>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</si>
  <si>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</si>
  <si>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</si>
  <si>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</si>
  <si>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</si>
  <si>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</si>
  <si>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</si>
  <si>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</si>
  <si>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</si>
  <si>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</si>
  <si>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</si>
  <si>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</si>
  <si>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</si>
  <si>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</si>
  <si>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</si>
  <si>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</si>
  <si>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</si>
  <si>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</si>
  <si>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</si>
  <si>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</si>
  <si>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</si>
  <si>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</si>
  <si>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</si>
  <si>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</si>
  <si>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</si>
  <si>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</si>
  <si>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</si>
  <si>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</si>
  <si>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</si>
  <si>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</si>
  <si>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</si>
  <si>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</si>
  <si>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</si>
  <si>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</si>
  <si>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</si>
  <si>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</si>
  <si>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</si>
  <si>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</si>
  <si>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</si>
  <si>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</si>
  <si>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</si>
  <si>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</si>
  <si>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</si>
  <si>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</si>
  <si>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</si>
  <si>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</si>
  <si>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</si>
  <si>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</si>
  <si>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</si>
  <si>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</si>
  <si>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</si>
  <si>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</si>
  <si>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</si>
  <si>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</si>
  <si>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</si>
  <si>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</si>
  <si>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</si>
  <si>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</si>
  <si>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</si>
  <si>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</si>
  <si>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</si>
  <si>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</si>
  <si>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</si>
  <si>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</si>
  <si>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</si>
  <si>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</si>
  <si>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</si>
  <si>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</si>
  <si>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</si>
  <si>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</si>
  <si>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</si>
  <si>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</si>
  <si>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</si>
  <si>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</si>
  <si>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</si>
  <si>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</si>
  <si>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</si>
  <si>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</si>
  <si>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</si>
  <si>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</si>
  <si>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</si>
  <si>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</si>
  <si>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</si>
  <si>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</si>
  <si>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</si>
  <si>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</si>
  <si>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</si>
  <si>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</si>
  <si>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</si>
  <si>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</si>
  <si>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</si>
  <si>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</si>
  <si>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</si>
  <si>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</si>
  <si>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</si>
  <si>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</si>
  <si>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</si>
  <si>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</si>
  <si>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</si>
  <si>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</si>
  <si>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</si>
  <si>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</si>
  <si>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</si>
  <si>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</si>
  <si>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</si>
  <si>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</si>
  <si>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</si>
  <si>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</si>
  <si>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</si>
  <si>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</si>
  <si>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</si>
  <si>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</si>
  <si>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</si>
  <si>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</si>
  <si>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</si>
  <si>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</si>
  <si>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</si>
  <si>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</si>
  <si>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</si>
  <si>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</si>
  <si>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</si>
  <si>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</si>
  <si>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</si>
  <si>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</si>
  <si>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</si>
  <si>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</si>
  <si>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</si>
  <si>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</si>
  <si>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</si>
  <si>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</si>
  <si>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</si>
  <si>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</si>
  <si>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</si>
  <si>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</si>
  <si>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</si>
  <si>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</si>
  <si>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</si>
  <si>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</si>
  <si>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</si>
  <si>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</si>
  <si>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</si>
  <si>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</si>
  <si>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</si>
  <si>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</si>
  <si>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</si>
  <si>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</si>
  <si>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</si>
  <si>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</si>
  <si>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</si>
  <si>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</si>
  <si>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</si>
  <si>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</si>
  <si>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</si>
  <si>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</si>
  <si>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</si>
  <si>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</si>
  <si>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</si>
  <si>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</si>
  <si>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</si>
  <si>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</si>
  <si>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</si>
  <si>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</si>
  <si>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</si>
  <si>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</si>
  <si>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</si>
  <si>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</si>
  <si>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</si>
  <si>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</si>
  <si>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</si>
  <si>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</si>
  <si>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</si>
  <si>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</si>
  <si>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</si>
  <si>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</si>
  <si>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</si>
  <si>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</si>
  <si>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</si>
  <si>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</si>
  <si>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</si>
  <si>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</si>
  <si>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</si>
  <si>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</si>
  <si>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</si>
  <si>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</si>
  <si>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</si>
  <si>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</si>
  <si>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</si>
  <si>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</si>
  <si>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</si>
  <si>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</si>
  <si>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</si>
  <si>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</si>
  <si>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</si>
  <si>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</si>
  <si>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</si>
  <si>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</si>
  <si>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</si>
  <si>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</si>
  <si>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</si>
  <si>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</si>
  <si>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</si>
  <si>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</si>
  <si>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</si>
  <si>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</si>
  <si>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</si>
  <si>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</si>
  <si>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</si>
  <si>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</si>
  <si>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</si>
  <si>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</si>
  <si>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</si>
  <si>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</si>
  <si>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</si>
  <si>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</si>
  <si>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</si>
  <si>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</si>
  <si>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</si>
  <si>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</si>
  <si>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</si>
  <si>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</si>
  <si>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</si>
  <si>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</si>
  <si>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</si>
  <si>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</si>
  <si>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</si>
  <si>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</si>
  <si>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</si>
  <si>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</si>
  <si>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</si>
  <si>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</si>
  <si>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</si>
  <si>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</si>
  <si>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</si>
  <si>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</si>
  <si>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</si>
  <si>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</si>
  <si>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</si>
  <si>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</si>
  <si>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</si>
  <si>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</si>
  <si>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</si>
  <si>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</si>
  <si>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</si>
  <si>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</si>
  <si>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</si>
  <si>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</si>
  <si>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</si>
  <si>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</si>
  <si>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</si>
  <si>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</si>
  <si>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</si>
  <si>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</si>
  <si>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</si>
  <si>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</si>
  <si>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</si>
  <si>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</si>
  <si>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</si>
  <si>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</si>
  <si>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</si>
  <si>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</si>
  <si>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</si>
  <si>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</si>
  <si>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</si>
  <si>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</si>
  <si>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</si>
  <si>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</si>
  <si>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</si>
  <si>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</si>
  <si>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</si>
  <si>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</si>
  <si>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</si>
  <si>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</si>
  <si>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</si>
  <si>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</si>
  <si>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</si>
  <si>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</si>
  <si>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</si>
  <si>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</si>
  <si>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</si>
  <si>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</si>
  <si>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</si>
  <si>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</si>
  <si>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</si>
  <si>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</si>
  <si>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</si>
  <si>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</si>
  <si>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</si>
  <si>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</si>
  <si>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</si>
  <si>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</si>
  <si>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</si>
  <si>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</si>
  <si>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</si>
  <si>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</si>
  <si>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</si>
  <si>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</si>
  <si>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</si>
  <si>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</si>
  <si>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</si>
  <si>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</si>
  <si>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</si>
  <si>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</si>
  <si>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</si>
  <si>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</si>
  <si>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</si>
  <si>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</si>
  <si>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</si>
  <si>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</si>
  <si>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</si>
  <si>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</si>
  <si>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</si>
  <si>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</si>
  <si>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</si>
  <si>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</si>
  <si>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</si>
  <si>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</si>
  <si>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</si>
  <si>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</si>
  <si>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</si>
  <si>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</si>
  <si>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</si>
  <si>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</si>
  <si>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</si>
  <si>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</si>
  <si>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</si>
  <si>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</si>
  <si>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</si>
  <si>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</si>
  <si>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</si>
  <si>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</si>
  <si>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</si>
  <si>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</si>
  <si>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</si>
  <si>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</si>
  <si>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</si>
  <si>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</si>
  <si>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</si>
  <si>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</si>
  <si>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</si>
  <si>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</si>
  <si>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</si>
  <si>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</si>
  <si>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</si>
  <si>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</si>
  <si>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</si>
  <si>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</si>
  <si>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</si>
  <si>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</si>
  <si>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</si>
  <si>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</si>
  <si>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</si>
  <si>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</si>
  <si>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</si>
  <si>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</si>
  <si>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</si>
  <si>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</si>
  <si>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</si>
  <si>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</si>
  <si>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</si>
  <si>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</si>
  <si>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</si>
  <si>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</si>
  <si>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</si>
  <si>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</si>
  <si>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</si>
  <si>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</si>
  <si>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</si>
  <si>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</si>
  <si>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</si>
  <si>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</si>
  <si>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</si>
  <si>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</si>
  <si>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</si>
  <si>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</si>
  <si>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</si>
  <si>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</si>
  <si>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</si>
  <si>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</si>
  <si>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</si>
  <si>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</si>
  <si>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</si>
  <si>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</si>
  <si>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</si>
  <si>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</si>
  <si>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</si>
  <si>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</si>
  <si>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</si>
  <si>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</si>
  <si>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</si>
  <si>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</si>
  <si>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</si>
  <si>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</si>
  <si>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</si>
  <si>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</si>
  <si>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</si>
  <si>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</si>
  <si>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</si>
  <si>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</si>
  <si>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</si>
  <si>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</si>
  <si>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</si>
  <si>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</si>
  <si>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</si>
  <si>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</si>
  <si>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</si>
  <si>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</si>
  <si>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</si>
  <si>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</si>
  <si>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</si>
  <si>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</si>
  <si>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</si>
  <si>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</si>
  <si>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</si>
  <si>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</si>
  <si>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</si>
  <si>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</si>
  <si>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</si>
  <si>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</si>
  <si>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</si>
  <si>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</si>
  <si>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</si>
  <si>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</si>
  <si>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</si>
  <si>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</si>
  <si>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</si>
  <si>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</si>
  <si>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</si>
  <si>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</si>
  <si>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</si>
  <si>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</si>
  <si>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</si>
  <si>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</si>
  <si>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</si>
  <si>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</si>
  <si>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</si>
  <si>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</si>
  <si>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</si>
  <si>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</si>
  <si>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</si>
  <si>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</si>
  <si>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</si>
  <si>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</si>
  <si>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</si>
  <si>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</si>
  <si>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</si>
  <si>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</si>
  <si>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</si>
  <si>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</si>
  <si>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</si>
  <si>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</si>
  <si>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</si>
  <si>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</si>
  <si>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</si>
  <si>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</si>
  <si>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</si>
  <si>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</si>
  <si>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</si>
  <si>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</si>
  <si>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</si>
  <si>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</si>
  <si>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</si>
  <si>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</si>
  <si>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</si>
  <si>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</si>
  <si>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</si>
  <si>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</si>
  <si>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</si>
  <si>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</si>
  <si>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</si>
  <si>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</si>
  <si>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</si>
  <si>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</si>
  <si>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</si>
  <si>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</si>
  <si>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</si>
  <si>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</si>
  <si>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</si>
  <si>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</si>
  <si>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</si>
  <si>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</si>
  <si>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</si>
  <si>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</si>
  <si>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</si>
  <si>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</si>
  <si>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</si>
  <si>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</si>
  <si>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</si>
  <si>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</si>
  <si>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</si>
  <si>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</si>
  <si>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</si>
  <si>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</si>
  <si>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</si>
  <si>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</si>
  <si>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</si>
  <si>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</si>
  <si>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</si>
  <si>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</si>
  <si>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</si>
  <si>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</si>
  <si>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</si>
  <si>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</si>
  <si>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</si>
  <si>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</si>
  <si>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</si>
  <si>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</si>
  <si>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</si>
  <si>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</si>
  <si>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</si>
  <si>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</si>
  <si>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</si>
  <si>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</si>
  <si>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</si>
  <si>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</si>
  <si>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</si>
  <si>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</si>
  <si>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</si>
  <si>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</si>
  <si>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</si>
  <si>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</si>
  <si>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</si>
  <si>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</si>
  <si>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</si>
  <si>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</si>
  <si>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</si>
  <si>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</si>
  <si>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</si>
  <si>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</si>
  <si>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</si>
  <si>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</si>
  <si>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</si>
  <si>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</si>
  <si>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</si>
  <si>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</si>
  <si>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</si>
  <si>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</si>
  <si>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</si>
  <si>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</si>
  <si>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</si>
  <si>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</si>
  <si>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</si>
  <si>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</si>
  <si>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</si>
  <si>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</si>
  <si>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</si>
  <si>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</si>
  <si>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</si>
  <si>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</si>
  <si>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</si>
  <si>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</si>
  <si>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</si>
  <si>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</si>
  <si>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</si>
  <si>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</si>
  <si>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</si>
  <si>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</si>
  <si>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</si>
  <si>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</si>
  <si>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</si>
  <si>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</si>
  <si>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</si>
  <si>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</si>
  <si>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</si>
  <si>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</si>
  <si>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</si>
  <si>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</si>
  <si>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</si>
  <si>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</si>
  <si>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</si>
  <si>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</si>
  <si>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</si>
  <si>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</si>
  <si>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</si>
  <si>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</si>
  <si>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</si>
  <si>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</si>
  <si>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</si>
  <si>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</si>
  <si>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</si>
  <si>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</si>
  <si>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</si>
  <si>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</si>
  <si>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</si>
  <si>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</si>
  <si>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</si>
  <si>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</si>
  <si>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</si>
  <si>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</si>
  <si>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</si>
  <si>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</si>
  <si>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</si>
  <si>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</si>
  <si>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</si>
  <si>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</si>
  <si>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</si>
  <si>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</si>
  <si>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</si>
  <si>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</si>
  <si>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</si>
  <si>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</si>
  <si>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</si>
  <si>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</si>
  <si>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</si>
  <si>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</si>
  <si>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</si>
  <si>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</si>
  <si>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</si>
  <si>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</si>
  <si>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</si>
  <si>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</si>
  <si>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</si>
  <si>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</si>
  <si>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</si>
  <si>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</si>
  <si>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</si>
  <si>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</si>
  <si>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</si>
  <si>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</si>
  <si>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</si>
  <si>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</si>
  <si>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</si>
  <si>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</si>
  <si>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</si>
  <si>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</si>
  <si>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</si>
  <si>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</si>
  <si>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</si>
  <si>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</si>
  <si>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</si>
  <si>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</si>
  <si>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</si>
  <si>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</si>
  <si>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</si>
  <si>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</si>
  <si>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</si>
  <si>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</si>
  <si>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</si>
  <si>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</si>
  <si>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</si>
  <si>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</si>
  <si>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</si>
  <si>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</si>
  <si>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</si>
  <si>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</si>
  <si>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</si>
  <si>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</si>
  <si>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</si>
  <si>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</si>
  <si>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</si>
  <si>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</si>
  <si>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</si>
  <si>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</si>
  <si>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</si>
  <si>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</si>
  <si>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</si>
  <si>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</si>
  <si>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</si>
  <si>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</si>
  <si>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</si>
  <si>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</si>
  <si>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</si>
  <si>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</si>
  <si>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</si>
  <si>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</si>
  <si>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W_e</t>
    <phoneticPr fontId="1"/>
  </si>
  <si>
    <t>W_e/sr</t>
    <phoneticPr fontId="1"/>
  </si>
  <si>
    <t>W_e/Ω_2</t>
    <phoneticPr fontId="1"/>
  </si>
  <si>
    <t>W_e/m^2</t>
    <phoneticPr fontId="1"/>
  </si>
  <si>
    <t>J_e/g</t>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</si>
  <si>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</si>
  <si>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</si>
  <si>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</si>
  <si>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</si>
  <si>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</si>
  <si>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</si>
  <si>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</si>
  <si>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</si>
  <si>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</si>
  <si>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</si>
  <si>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</si>
  <si>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</si>
  <si>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</si>
  <si>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</si>
  <si>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</si>
  <si>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</si>
  <si>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</si>
  <si>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</si>
  <si>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</si>
  <si>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</si>
  <si>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</si>
  <si>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</si>
  <si>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</si>
  <si>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</si>
  <si>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</si>
  <si>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</si>
  <si>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</si>
  <si>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</si>
  <si>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</si>
  <si>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</si>
  <si>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</si>
  <si>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</si>
  <si>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</si>
  <si>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</si>
  <si>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</si>
  <si>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</si>
  <si>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</si>
  <si>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</si>
  <si>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</si>
  <si>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</si>
  <si>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</si>
  <si>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</si>
  <si>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</si>
  <si>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</si>
  <si>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</si>
  <si>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</si>
  <si>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</si>
  <si>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</si>
  <si>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</si>
  <si>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</si>
  <si>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</si>
  <si>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</si>
  <si>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</si>
  <si>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</si>
  <si>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</si>
  <si>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</si>
  <si>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</si>
  <si>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</si>
  <si>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</si>
  <si>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</si>
  <si>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</si>
  <si>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</si>
  <si>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</si>
  <si>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</si>
  <si>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</si>
  <si>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</si>
  <si>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</si>
  <si>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</si>
  <si>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</si>
  <si>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</si>
  <si>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</si>
  <si>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</si>
  <si>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</si>
  <si>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</si>
  <si>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</si>
  <si>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</si>
  <si>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</si>
  <si>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</si>
  <si>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</si>
  <si>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</si>
  <si>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</si>
  <si>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</si>
  <si>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</si>
  <si>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</si>
  <si>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</si>
  <si>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</si>
  <si>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</si>
  <si>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</si>
  <si>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</si>
  <si>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</si>
  <si>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</si>
  <si>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</si>
  <si>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</si>
  <si>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</si>
  <si>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</si>
  <si>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</si>
  <si>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</si>
  <si>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</si>
  <si>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</si>
  <si>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</si>
  <si>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</si>
  <si>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</si>
  <si>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</si>
  <si>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</si>
  <si>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</si>
  <si>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</si>
  <si>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</si>
  <si>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</si>
  <si>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</si>
  <si>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</si>
  <si>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</si>
  <si>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</si>
  <si>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</si>
  <si>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</si>
  <si>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</si>
  <si>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</si>
  <si>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</si>
  <si>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</si>
  <si>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</si>
  <si>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</si>
  <si>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</si>
  <si>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</si>
  <si>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</si>
  <si>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</si>
  <si>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</si>
  <si>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</si>
  <si>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</si>
  <si>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</si>
  <si>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</si>
  <si>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</si>
  <si>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</si>
  <si>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</si>
  <si>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</si>
  <si>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</si>
  <si>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</si>
  <si>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</si>
  <si>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</si>
  <si>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</si>
  <si>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</si>
  <si>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</si>
  <si>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</si>
  <si>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</si>
  <si>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</si>
  <si>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</si>
  <si>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</si>
  <si>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</si>
  <si>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</si>
  <si>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</si>
  <si>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</si>
  <si>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</si>
  <si>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</si>
  <si>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</si>
  <si>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</si>
  <si>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</si>
  <si>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</si>
  <si>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</si>
  <si>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</si>
  <si>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</si>
  <si>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</si>
  <si>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</si>
  <si>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</si>
  <si>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</si>
  <si>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</si>
  <si>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</si>
  <si>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</si>
  <si>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</si>
  <si>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</si>
  <si>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</si>
  <si>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</si>
  <si>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</si>
  <si>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</si>
  <si>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</si>
  <si>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</si>
  <si>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</si>
  <si>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</si>
  <si>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</si>
  <si>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</si>
  <si>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</si>
  <si>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</si>
  <si>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</si>
  <si>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</si>
  <si>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</si>
  <si>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</si>
  <si>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</si>
  <si>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</si>
  <si>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</si>
  <si>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</si>
  <si>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</si>
  <si>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</si>
  <si>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</si>
  <si>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</si>
  <si>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</si>
  <si>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</si>
  <si>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</si>
  <si>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</si>
  <si>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</si>
  <si>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</si>
  <si>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</si>
  <si>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</si>
  <si>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</si>
  <si>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</si>
  <si>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</si>
  <si>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</si>
  <si>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</si>
  <si>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</si>
  <si>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</si>
  <si>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</si>
  <si>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</si>
  <si>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</si>
  <si>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</si>
  <si>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</si>
  <si>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</si>
  <si>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</si>
  <si>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</si>
  <si>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</si>
  <si>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</si>
  <si>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</si>
  <si>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</si>
  <si>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</si>
  <si>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</si>
  <si>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</si>
  <si>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</si>
  <si>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</si>
  <si>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</si>
  <si>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</si>
  <si>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</si>
  <si>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</si>
  <si>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</si>
  <si>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</si>
  <si>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</si>
  <si>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</si>
  <si>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</si>
  <si>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</si>
  <si>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</si>
  <si>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</si>
  <si>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</si>
  <si>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</si>
  <si>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</si>
  <si>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</si>
  <si>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</si>
  <si>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</si>
  <si>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</si>
  <si>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</si>
  <si>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</si>
  <si>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</si>
  <si>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</si>
  <si>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</si>
  <si>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</si>
  <si>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</si>
  <si>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</si>
  <si>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</si>
  <si>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</si>
  <si>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</si>
  <si>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</si>
  <si>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</si>
  <si>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</si>
  <si>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</si>
  <si>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</si>
  <si>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</si>
  <si>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</si>
  <si>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</si>
  <si>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</si>
  <si>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</si>
  <si>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</si>
  <si>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</si>
  <si>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</si>
  <si>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</si>
  <si>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</si>
  <si>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</si>
  <si>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</si>
  <si>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</si>
  <si>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</si>
  <si>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</si>
  <si>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</si>
  <si>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</si>
  <si>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</si>
  <si>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</si>
  <si>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</si>
  <si>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</si>
  <si>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</si>
  <si>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</si>
  <si>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</si>
  <si>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</si>
  <si>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</si>
  <si>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</si>
  <si>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</si>
  <si>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</si>
  <si>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</si>
  <si>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</si>
  <si>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</si>
  <si>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</si>
  <si>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</si>
  <si>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</si>
  <si>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</si>
  <si>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</si>
  <si>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</si>
  <si>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</si>
  <si>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</si>
  <si>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</si>
  <si>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</si>
  <si>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</si>
  <si>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</si>
  <si>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</si>
  <si>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</si>
  <si>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</si>
  <si>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</si>
  <si>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</si>
  <si>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</si>
  <si>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</si>
  <si>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</si>
  <si>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</si>
  <si>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t>1 dinól = 0.91548 gram = 0.03229 ounce</t>
    <phoneticPr fontId="1"/>
  </si>
  <si>
    <t>1 unínoh = 2.2696 centi meter = 0.89354 inch</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</si>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</sst>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6"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65">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56" xfId="0" applyFont="1" applyBorder="1" applyAlignment="1">
      <alignment horizontal="left" vertical="center" wrapText="1"/>
    </xf>
    <xf numFmtId="0" fontId="2" fillId="0" borderId="53" xfId="0" applyFont="1" applyBorder="1" applyAlignment="1">
      <alignment horizontal="left"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2" fillId="0" borderId="46" xfId="0" applyFont="1" applyBorder="1" applyAlignment="1">
      <alignment horizontal="left" vertical="center" wrapText="1"/>
    </xf>
    <xf numFmtId="0" fontId="18" fillId="8" borderId="49" xfId="0" applyFont="1" applyFill="1" applyBorder="1" applyAlignment="1">
      <alignment horizontal="center"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8" fillId="10" borderId="47" xfId="0" applyFont="1" applyFill="1" applyBorder="1" applyAlignment="1">
      <alignment horizontal="lef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0" borderId="5" xfId="0" applyFont="1" applyBorder="1" applyAlignment="1">
      <alignment horizontal="left"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0" borderId="5" xfId="0" applyFont="1" applyBorder="1" applyAlignment="1">
      <alignment horizontal="left"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43" fillId="0" borderId="0" xfId="2" quotePrefix="1" applyFont="1" applyAlignment="1">
      <alignment horizontal="left" vertical="center"/>
    </xf>
    <xf numFmtId="0" fontId="43" fillId="0" borderId="0" xfId="2" quotePrefix="1" applyFont="1" applyAlignment="1">
      <alignment horizontal="center" vertical="center"/>
    </xf>
    <xf numFmtId="0" fontId="43" fillId="0" borderId="0" xfId="2" applyFont="1" applyAlignment="1">
      <alignment horizontal="center"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188" fontId="40" fillId="0" borderId="88" xfId="2" applyNumberFormat="1" applyFont="1" applyBorder="1" applyAlignment="1">
      <alignment horizontal="left" vertical="center"/>
    </xf>
    <xf numFmtId="200" fontId="40" fillId="0" borderId="88" xfId="2" applyNumberFormat="1" applyFont="1" applyBorder="1" applyAlignment="1">
      <alignment horizontal="left" vertical="center"/>
    </xf>
    <xf numFmtId="186" fontId="40" fillId="0" borderId="88" xfId="2" applyNumberFormat="1" applyFont="1" applyBorder="1" applyAlignment="1">
      <alignment horizontal="left" vertical="center"/>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50800</xdr:rowOff>
        </xdr:from>
        <xdr:to>
          <xdr:col>5</xdr:col>
          <xdr:colOff>393700</xdr:colOff>
          <xdr:row>46</xdr:row>
          <xdr:rowOff>25400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C25" activePane="bottomRight" state="frozen"/>
      <selection pane="topRight" activeCell="C1" sqref="C1"/>
      <selection pane="bottomLeft" activeCell="A2" sqref="A2"/>
      <selection pane="bottomRight" activeCell="C32" sqref="C32"/>
    </sheetView>
  </sheetViews>
  <sheetFormatPr defaultColWidth="9" defaultRowHeight="11.5" x14ac:dyDescent="0.2"/>
  <cols>
    <col min="1" max="1" width="10.26953125" style="14" customWidth="1"/>
    <col min="2" max="2" width="11.1796875" style="14" customWidth="1"/>
    <col min="3" max="3" width="41" style="14" customWidth="1"/>
    <col min="4" max="4" width="33.36328125" style="14" customWidth="1"/>
    <col min="5" max="5" width="22.6328125" style="14" customWidth="1"/>
    <col min="6" max="11" width="7.6328125" style="54" customWidth="1"/>
    <col min="12" max="12" width="73.1796875" style="214" customWidth="1"/>
    <col min="13" max="16384" width="9" style="14"/>
  </cols>
  <sheetData>
    <row r="1" spans="1:12" ht="13.5" customHeight="1" thickTop="1" thickBot="1" x14ac:dyDescent="0.25">
      <c r="A1" s="577" t="s">
        <v>327</v>
      </c>
      <c r="B1" s="578"/>
      <c r="C1" s="327" t="s">
        <v>326</v>
      </c>
      <c r="D1" s="328" t="s">
        <v>325</v>
      </c>
      <c r="E1" s="327" t="s">
        <v>324</v>
      </c>
      <c r="F1" s="329" t="s">
        <v>323</v>
      </c>
      <c r="G1" s="329" t="s">
        <v>322</v>
      </c>
      <c r="H1" s="329" t="s">
        <v>321</v>
      </c>
      <c r="I1" s="329" t="s">
        <v>320</v>
      </c>
      <c r="J1" s="329" t="s">
        <v>1344</v>
      </c>
      <c r="K1" s="498" t="s">
        <v>1345</v>
      </c>
      <c r="L1" s="330" t="s">
        <v>319</v>
      </c>
    </row>
    <row r="2" spans="1:12" ht="13.5" customHeight="1" x14ac:dyDescent="0.2">
      <c r="A2" s="566" t="s">
        <v>627</v>
      </c>
      <c r="B2" s="567"/>
      <c r="C2" s="557" t="s">
        <v>315</v>
      </c>
      <c r="D2" s="331" t="s">
        <v>314</v>
      </c>
      <c r="E2" s="479" t="s">
        <v>313</v>
      </c>
      <c r="F2" s="36" t="s">
        <v>1041</v>
      </c>
      <c r="G2" s="36" t="s">
        <v>1041</v>
      </c>
      <c r="H2" s="36" t="s">
        <v>1038</v>
      </c>
      <c r="I2" s="36"/>
      <c r="J2" s="36"/>
      <c r="K2" s="36" t="s">
        <v>1038</v>
      </c>
      <c r="L2" s="332"/>
    </row>
    <row r="3" spans="1:12" ht="13.5" customHeight="1" x14ac:dyDescent="0.2">
      <c r="A3" s="566"/>
      <c r="B3" s="567"/>
      <c r="C3" s="558"/>
      <c r="D3" s="331" t="s">
        <v>1042</v>
      </c>
      <c r="E3" s="343" t="s">
        <v>1276</v>
      </c>
      <c r="F3" s="36" t="s">
        <v>1041</v>
      </c>
      <c r="G3" s="36" t="s">
        <v>1041</v>
      </c>
      <c r="H3" s="36"/>
      <c r="I3" s="36" t="s">
        <v>1038</v>
      </c>
      <c r="J3" s="36"/>
      <c r="K3" s="36" t="s">
        <v>1038</v>
      </c>
      <c r="L3" s="333"/>
    </row>
    <row r="4" spans="1:12" ht="13.5" customHeight="1" x14ac:dyDescent="0.2">
      <c r="A4" s="566"/>
      <c r="B4" s="567"/>
      <c r="C4" s="334" t="s">
        <v>318</v>
      </c>
      <c r="D4" s="335" t="s">
        <v>317</v>
      </c>
      <c r="E4" s="336" t="s">
        <v>316</v>
      </c>
      <c r="F4" s="122" t="s">
        <v>1041</v>
      </c>
      <c r="G4" s="122" t="s">
        <v>1041</v>
      </c>
      <c r="H4" s="122" t="s">
        <v>1038</v>
      </c>
      <c r="I4" s="122"/>
      <c r="J4" s="122"/>
      <c r="K4" s="122"/>
      <c r="L4" s="333"/>
    </row>
    <row r="5" spans="1:12" ht="25.5" customHeight="1" x14ac:dyDescent="0.2">
      <c r="A5" s="566"/>
      <c r="B5" s="567"/>
      <c r="C5" s="557" t="s">
        <v>1277</v>
      </c>
      <c r="D5" s="337" t="s">
        <v>1043</v>
      </c>
      <c r="E5" s="338" t="s">
        <v>1044</v>
      </c>
      <c r="F5" s="559" t="s">
        <v>1041</v>
      </c>
      <c r="G5" s="559" t="s">
        <v>1041</v>
      </c>
      <c r="H5" s="559" t="s">
        <v>1038</v>
      </c>
      <c r="I5" s="559"/>
      <c r="J5" s="559"/>
      <c r="K5" s="559"/>
      <c r="L5" s="555" t="s">
        <v>1847</v>
      </c>
    </row>
    <row r="6" spans="1:12" ht="12.5" customHeight="1" x14ac:dyDescent="0.2">
      <c r="A6" s="566"/>
      <c r="B6" s="567"/>
      <c r="C6" s="558"/>
      <c r="D6" s="339" t="s">
        <v>311</v>
      </c>
      <c r="E6" s="340" t="s">
        <v>1786</v>
      </c>
      <c r="F6" s="560"/>
      <c r="G6" s="560"/>
      <c r="H6" s="560"/>
      <c r="I6" s="560"/>
      <c r="J6" s="560"/>
      <c r="K6" s="560"/>
      <c r="L6" s="556"/>
    </row>
    <row r="7" spans="1:12" ht="13.5" customHeight="1" x14ac:dyDescent="0.2">
      <c r="A7" s="566"/>
      <c r="B7" s="567"/>
      <c r="C7" s="331" t="s">
        <v>312</v>
      </c>
      <c r="D7" s="342" t="s">
        <v>1808</v>
      </c>
      <c r="E7" s="343" t="s">
        <v>1787</v>
      </c>
      <c r="F7" s="36" t="s">
        <v>1041</v>
      </c>
      <c r="G7" s="36" t="s">
        <v>1041</v>
      </c>
      <c r="H7" s="36" t="s">
        <v>1038</v>
      </c>
      <c r="I7" s="36"/>
      <c r="J7" s="36"/>
      <c r="K7" s="36"/>
      <c r="L7" s="344"/>
    </row>
    <row r="8" spans="1:12" ht="29.5" customHeight="1" x14ac:dyDescent="0.2">
      <c r="A8" s="562" t="s">
        <v>310</v>
      </c>
      <c r="B8" s="563"/>
      <c r="C8" s="557" t="s">
        <v>309</v>
      </c>
      <c r="D8" s="345" t="s">
        <v>1806</v>
      </c>
      <c r="E8" s="340" t="s">
        <v>1788</v>
      </c>
      <c r="F8" s="36"/>
      <c r="G8" s="36" t="s">
        <v>1041</v>
      </c>
      <c r="H8" s="36" t="s">
        <v>1038</v>
      </c>
      <c r="I8" s="36"/>
      <c r="J8" s="36" t="s">
        <v>1038</v>
      </c>
      <c r="K8" s="36" t="s">
        <v>1038</v>
      </c>
      <c r="L8" s="555" t="s">
        <v>1848</v>
      </c>
    </row>
    <row r="9" spans="1:12" ht="13.5" customHeight="1" x14ac:dyDescent="0.2">
      <c r="A9" s="566"/>
      <c r="B9" s="567"/>
      <c r="C9" s="574"/>
      <c r="D9" s="345" t="s">
        <v>1850</v>
      </c>
      <c r="E9" s="340" t="s">
        <v>1853</v>
      </c>
      <c r="F9" s="36"/>
      <c r="G9" s="36" t="s">
        <v>281</v>
      </c>
      <c r="H9" s="36"/>
      <c r="I9" s="36" t="s">
        <v>281</v>
      </c>
      <c r="J9" s="36"/>
      <c r="K9" s="36" t="s">
        <v>281</v>
      </c>
      <c r="L9" s="570"/>
    </row>
    <row r="10" spans="1:12" ht="13.5" customHeight="1" x14ac:dyDescent="0.2">
      <c r="A10" s="566"/>
      <c r="B10" s="567"/>
      <c r="C10" s="558"/>
      <c r="D10" s="345" t="s">
        <v>1851</v>
      </c>
      <c r="E10" s="340" t="s">
        <v>1852</v>
      </c>
      <c r="F10" s="36"/>
      <c r="G10" s="36" t="s">
        <v>281</v>
      </c>
      <c r="H10" s="36"/>
      <c r="I10" s="36" t="s">
        <v>281</v>
      </c>
      <c r="J10" s="36"/>
      <c r="K10" s="36" t="s">
        <v>281</v>
      </c>
      <c r="L10" s="556"/>
    </row>
    <row r="11" spans="1:12" ht="13.5" customHeight="1" x14ac:dyDescent="0.2">
      <c r="A11" s="566"/>
      <c r="B11" s="567"/>
      <c r="C11" s="341" t="s">
        <v>308</v>
      </c>
      <c r="D11" s="345" t="s">
        <v>1805</v>
      </c>
      <c r="E11" s="340" t="s">
        <v>1789</v>
      </c>
      <c r="F11" s="36"/>
      <c r="G11" s="36" t="s">
        <v>1038</v>
      </c>
      <c r="H11" s="36"/>
      <c r="I11" s="36" t="s">
        <v>281</v>
      </c>
      <c r="J11" s="36" t="s">
        <v>1038</v>
      </c>
      <c r="K11" s="36"/>
      <c r="L11" s="344"/>
    </row>
    <row r="12" spans="1:12" ht="25" customHeight="1" x14ac:dyDescent="0.2">
      <c r="A12" s="566"/>
      <c r="B12" s="567"/>
      <c r="C12" s="341" t="s">
        <v>307</v>
      </c>
      <c r="D12" s="345" t="s">
        <v>306</v>
      </c>
      <c r="E12" s="340" t="s">
        <v>1790</v>
      </c>
      <c r="F12" s="36"/>
      <c r="G12" s="36" t="s">
        <v>1038</v>
      </c>
      <c r="H12" s="36" t="s">
        <v>1038</v>
      </c>
      <c r="I12" s="36"/>
      <c r="J12" s="36"/>
      <c r="K12" s="36"/>
      <c r="L12" s="344" t="s">
        <v>1840</v>
      </c>
    </row>
    <row r="13" spans="1:12" ht="13.5" customHeight="1" x14ac:dyDescent="0.2">
      <c r="A13" s="564"/>
      <c r="B13" s="565"/>
      <c r="C13" s="331" t="s">
        <v>1839</v>
      </c>
      <c r="D13" s="346" t="s">
        <v>305</v>
      </c>
      <c r="E13" s="343" t="s">
        <v>1791</v>
      </c>
      <c r="F13" s="36"/>
      <c r="G13" s="36" t="s">
        <v>1038</v>
      </c>
      <c r="H13" s="36" t="s">
        <v>1038</v>
      </c>
      <c r="I13" s="36"/>
      <c r="J13" s="36"/>
      <c r="K13" s="36"/>
      <c r="L13" s="344"/>
    </row>
    <row r="14" spans="1:12" ht="13.5" customHeight="1" x14ac:dyDescent="0.2">
      <c r="A14" s="562" t="s">
        <v>304</v>
      </c>
      <c r="B14" s="563"/>
      <c r="C14" s="331" t="s">
        <v>303</v>
      </c>
      <c r="D14" s="346" t="s">
        <v>1807</v>
      </c>
      <c r="E14" s="343" t="s">
        <v>1826</v>
      </c>
      <c r="F14" s="36"/>
      <c r="G14" s="36" t="s">
        <v>1038</v>
      </c>
      <c r="H14" s="36"/>
      <c r="I14" s="36" t="s">
        <v>1038</v>
      </c>
      <c r="J14" s="36" t="s">
        <v>1038</v>
      </c>
      <c r="K14" s="36"/>
      <c r="L14" s="344"/>
    </row>
    <row r="15" spans="1:12" ht="22.5" customHeight="1" x14ac:dyDescent="0.2">
      <c r="A15" s="566"/>
      <c r="B15" s="567"/>
      <c r="C15" s="331" t="s">
        <v>302</v>
      </c>
      <c r="D15" s="346" t="s">
        <v>301</v>
      </c>
      <c r="E15" s="343" t="s">
        <v>1793</v>
      </c>
      <c r="F15" s="36"/>
      <c r="G15" s="36" t="s">
        <v>1038</v>
      </c>
      <c r="H15" s="36"/>
      <c r="I15" s="36" t="s">
        <v>1038</v>
      </c>
      <c r="J15" s="36"/>
      <c r="K15" s="36"/>
      <c r="L15" s="344" t="s">
        <v>1846</v>
      </c>
    </row>
    <row r="16" spans="1:12" ht="13.5" customHeight="1" x14ac:dyDescent="0.2">
      <c r="A16" s="566"/>
      <c r="B16" s="567"/>
      <c r="C16" s="341" t="s">
        <v>300</v>
      </c>
      <c r="D16" s="345" t="s">
        <v>299</v>
      </c>
      <c r="E16" s="340" t="s">
        <v>1794</v>
      </c>
      <c r="F16" s="36"/>
      <c r="G16" s="36" t="s">
        <v>1038</v>
      </c>
      <c r="H16" s="36"/>
      <c r="I16" s="36" t="s">
        <v>1038</v>
      </c>
      <c r="J16" s="36"/>
      <c r="K16" s="36"/>
      <c r="L16" s="344"/>
    </row>
    <row r="17" spans="1:12" ht="27" customHeight="1" x14ac:dyDescent="0.2">
      <c r="A17" s="566"/>
      <c r="B17" s="567"/>
      <c r="C17" s="341" t="s">
        <v>1875</v>
      </c>
      <c r="D17" s="345" t="s">
        <v>298</v>
      </c>
      <c r="E17" s="340" t="s">
        <v>1795</v>
      </c>
      <c r="F17" s="36"/>
      <c r="G17" s="36" t="s">
        <v>1038</v>
      </c>
      <c r="H17" s="36"/>
      <c r="I17" s="36" t="s">
        <v>1038</v>
      </c>
      <c r="J17" s="36"/>
      <c r="K17" s="36"/>
      <c r="L17" s="344" t="s">
        <v>1825</v>
      </c>
    </row>
    <row r="18" spans="1:12" ht="15.5" customHeight="1" x14ac:dyDescent="0.2">
      <c r="A18" s="562" t="s">
        <v>297</v>
      </c>
      <c r="B18" s="563"/>
      <c r="C18" s="331" t="s">
        <v>1876</v>
      </c>
      <c r="D18" s="346" t="s">
        <v>1874</v>
      </c>
      <c r="E18" s="343" t="s">
        <v>1796</v>
      </c>
      <c r="F18" s="36"/>
      <c r="G18" s="36" t="s">
        <v>1038</v>
      </c>
      <c r="H18" s="36"/>
      <c r="I18" s="36" t="s">
        <v>1038</v>
      </c>
      <c r="J18" s="36"/>
      <c r="K18" s="36"/>
      <c r="L18" s="344" t="s">
        <v>1871</v>
      </c>
    </row>
    <row r="19" spans="1:12" ht="57" customHeight="1" x14ac:dyDescent="0.2">
      <c r="A19" s="566"/>
      <c r="B19" s="567"/>
      <c r="C19" s="331" t="s">
        <v>296</v>
      </c>
      <c r="D19" s="346" t="s">
        <v>295</v>
      </c>
      <c r="E19" s="343" t="s">
        <v>1797</v>
      </c>
      <c r="F19" s="36"/>
      <c r="G19" s="36" t="s">
        <v>1038</v>
      </c>
      <c r="H19" s="36"/>
      <c r="I19" s="36" t="s">
        <v>1038</v>
      </c>
      <c r="J19" s="36"/>
      <c r="K19" s="36"/>
      <c r="L19" s="344" t="s">
        <v>1859</v>
      </c>
    </row>
    <row r="20" spans="1:12" ht="54.5" customHeight="1" x14ac:dyDescent="0.2">
      <c r="A20" s="566"/>
      <c r="B20" s="567"/>
      <c r="C20" s="341" t="s">
        <v>756</v>
      </c>
      <c r="D20" s="345" t="s">
        <v>757</v>
      </c>
      <c r="E20" s="340" t="s">
        <v>1798</v>
      </c>
      <c r="F20" s="36"/>
      <c r="G20" s="36" t="s">
        <v>1038</v>
      </c>
      <c r="H20" s="36"/>
      <c r="I20" s="36" t="s">
        <v>1038</v>
      </c>
      <c r="J20" s="36"/>
      <c r="K20" s="36"/>
      <c r="L20" s="344" t="s">
        <v>1858</v>
      </c>
    </row>
    <row r="21" spans="1:12" ht="13.5" customHeight="1" x14ac:dyDescent="0.2">
      <c r="A21" s="564"/>
      <c r="B21" s="565"/>
      <c r="C21" s="331" t="s">
        <v>1784</v>
      </c>
      <c r="D21" s="346" t="s">
        <v>1785</v>
      </c>
      <c r="E21" s="343" t="s">
        <v>1799</v>
      </c>
      <c r="F21" s="36"/>
      <c r="G21" s="36" t="s">
        <v>1038</v>
      </c>
      <c r="H21" s="36"/>
      <c r="I21" s="36" t="s">
        <v>1038</v>
      </c>
      <c r="J21" s="36"/>
      <c r="K21" s="36"/>
      <c r="L21" s="344"/>
    </row>
    <row r="22" spans="1:12" ht="13.5" customHeight="1" x14ac:dyDescent="0.2">
      <c r="A22" s="566" t="s">
        <v>294</v>
      </c>
      <c r="B22" s="567"/>
      <c r="C22" s="334" t="s">
        <v>293</v>
      </c>
      <c r="D22" s="342" t="s">
        <v>292</v>
      </c>
      <c r="E22" s="347" t="s">
        <v>291</v>
      </c>
      <c r="F22" s="36" t="s">
        <v>1038</v>
      </c>
      <c r="G22" s="36"/>
      <c r="H22" s="36"/>
      <c r="I22" s="36"/>
      <c r="J22" s="36"/>
      <c r="K22" s="36"/>
      <c r="L22" s="344"/>
    </row>
    <row r="23" spans="1:12" ht="13.5" customHeight="1" x14ac:dyDescent="0.2">
      <c r="A23" s="566"/>
      <c r="B23" s="567"/>
      <c r="C23" s="341" t="s">
        <v>290</v>
      </c>
      <c r="D23" s="342" t="s">
        <v>289</v>
      </c>
      <c r="E23" s="348" t="s">
        <v>1800</v>
      </c>
      <c r="F23" s="36" t="s">
        <v>1038</v>
      </c>
      <c r="G23" s="36"/>
      <c r="H23" s="36"/>
      <c r="I23" s="36"/>
      <c r="J23" s="36"/>
      <c r="K23" s="36"/>
      <c r="L23" s="344"/>
    </row>
    <row r="24" spans="1:12" ht="13.5" customHeight="1" x14ac:dyDescent="0.2">
      <c r="A24" s="566"/>
      <c r="B24" s="567"/>
      <c r="C24" s="341" t="s">
        <v>288</v>
      </c>
      <c r="D24" s="342" t="s">
        <v>287</v>
      </c>
      <c r="E24" s="348" t="s">
        <v>1039</v>
      </c>
      <c r="F24" s="36" t="s">
        <v>1040</v>
      </c>
      <c r="G24" s="36"/>
      <c r="H24" s="36"/>
      <c r="I24" s="36"/>
      <c r="J24" s="36"/>
      <c r="K24" s="36"/>
      <c r="L24" s="344"/>
    </row>
    <row r="25" spans="1:12" ht="13.5" customHeight="1" x14ac:dyDescent="0.2">
      <c r="A25" s="566"/>
      <c r="B25" s="567"/>
      <c r="C25" s="331" t="s">
        <v>1278</v>
      </c>
      <c r="D25" s="342" t="s">
        <v>1279</v>
      </c>
      <c r="E25" s="349" t="s">
        <v>1045</v>
      </c>
      <c r="F25" s="36" t="s">
        <v>281</v>
      </c>
      <c r="G25" s="36"/>
      <c r="H25" s="36"/>
      <c r="I25" s="36"/>
      <c r="J25" s="36"/>
      <c r="K25" s="36"/>
      <c r="L25" s="344"/>
    </row>
    <row r="26" spans="1:12" ht="13.5" customHeight="1" x14ac:dyDescent="0.2">
      <c r="A26" s="562" t="s">
        <v>628</v>
      </c>
      <c r="B26" s="563"/>
      <c r="C26" s="557" t="s">
        <v>285</v>
      </c>
      <c r="D26" s="331" t="s">
        <v>1758</v>
      </c>
      <c r="E26" s="340" t="s">
        <v>1362</v>
      </c>
      <c r="F26" s="36" t="s">
        <v>281</v>
      </c>
      <c r="G26" s="36"/>
      <c r="H26" s="36"/>
      <c r="I26" s="36"/>
      <c r="J26" s="36"/>
      <c r="K26" s="36" t="s">
        <v>1038</v>
      </c>
      <c r="L26" s="477"/>
    </row>
    <row r="27" spans="1:12" ht="13.5" x14ac:dyDescent="0.2">
      <c r="A27" s="566"/>
      <c r="B27" s="567"/>
      <c r="C27" s="558"/>
      <c r="D27" s="331" t="s">
        <v>1759</v>
      </c>
      <c r="E27" s="340" t="s">
        <v>1253</v>
      </c>
      <c r="F27" s="36" t="s">
        <v>281</v>
      </c>
      <c r="G27" s="36"/>
      <c r="H27" s="36"/>
      <c r="I27" s="36"/>
      <c r="J27" s="36"/>
      <c r="K27" s="36" t="s">
        <v>1038</v>
      </c>
      <c r="L27" s="333"/>
    </row>
    <row r="28" spans="1:12" ht="13.5" x14ac:dyDescent="0.2">
      <c r="A28" s="566"/>
      <c r="B28" s="567"/>
      <c r="C28" s="557" t="s">
        <v>286</v>
      </c>
      <c r="D28" s="331" t="s">
        <v>1353</v>
      </c>
      <c r="E28" s="575" t="s">
        <v>1877</v>
      </c>
      <c r="F28" s="36" t="s">
        <v>281</v>
      </c>
      <c r="G28" s="36"/>
      <c r="H28" s="36"/>
      <c r="I28" s="36"/>
      <c r="J28" s="36"/>
      <c r="K28" s="36"/>
      <c r="L28" s="555" t="s">
        <v>1862</v>
      </c>
    </row>
    <row r="29" spans="1:12" ht="13.5" x14ac:dyDescent="0.2">
      <c r="A29" s="566"/>
      <c r="B29" s="567"/>
      <c r="C29" s="574"/>
      <c r="D29" s="331" t="s">
        <v>1868</v>
      </c>
      <c r="E29" s="576"/>
      <c r="F29" s="36" t="s">
        <v>281</v>
      </c>
      <c r="G29" s="36"/>
      <c r="H29" s="36"/>
      <c r="I29" s="36"/>
      <c r="J29" s="36"/>
      <c r="K29" s="36"/>
      <c r="L29" s="570"/>
    </row>
    <row r="30" spans="1:12" ht="13.5" x14ac:dyDescent="0.2">
      <c r="A30" s="566"/>
      <c r="B30" s="567"/>
      <c r="C30" s="574"/>
      <c r="D30" s="331" t="s">
        <v>1354</v>
      </c>
      <c r="E30" s="576"/>
      <c r="F30" s="36"/>
      <c r="G30" s="36"/>
      <c r="H30" s="36"/>
      <c r="I30" s="36"/>
      <c r="J30" s="36"/>
      <c r="K30" s="36"/>
      <c r="L30" s="570"/>
    </row>
    <row r="31" spans="1:12" ht="13.5" x14ac:dyDescent="0.2">
      <c r="A31" s="566"/>
      <c r="B31" s="567"/>
      <c r="C31" s="558"/>
      <c r="D31" s="331" t="s">
        <v>1355</v>
      </c>
      <c r="E31" s="576"/>
      <c r="F31" s="36"/>
      <c r="G31" s="36"/>
      <c r="H31" s="36"/>
      <c r="I31" s="36"/>
      <c r="J31" s="36"/>
      <c r="K31" s="36"/>
      <c r="L31" s="556"/>
    </row>
    <row r="32" spans="1:12" ht="28" customHeight="1" x14ac:dyDescent="0.2">
      <c r="A32" s="566"/>
      <c r="B32" s="567"/>
      <c r="C32" s="545" t="s">
        <v>1873</v>
      </c>
      <c r="D32" s="345" t="s">
        <v>1872</v>
      </c>
      <c r="E32" s="340" t="s">
        <v>1801</v>
      </c>
      <c r="F32" s="350"/>
      <c r="G32" s="350"/>
      <c r="H32" s="350"/>
      <c r="I32" s="350"/>
      <c r="J32" s="350"/>
      <c r="K32" s="350"/>
      <c r="L32" s="344" t="s">
        <v>1871</v>
      </c>
    </row>
    <row r="33" spans="1:12" ht="13.5" customHeight="1" x14ac:dyDescent="0.2">
      <c r="A33" s="566"/>
      <c r="B33" s="567"/>
      <c r="C33" s="331" t="s">
        <v>284</v>
      </c>
      <c r="D33" s="342" t="s">
        <v>283</v>
      </c>
      <c r="E33" s="349" t="s">
        <v>282</v>
      </c>
      <c r="F33" s="36" t="s">
        <v>281</v>
      </c>
      <c r="G33" s="36"/>
      <c r="H33" s="36"/>
      <c r="I33" s="36"/>
      <c r="J33" s="36"/>
      <c r="K33" s="36"/>
      <c r="L33" s="344"/>
    </row>
    <row r="34" spans="1:12" ht="13.5" customHeight="1" x14ac:dyDescent="0.2">
      <c r="A34" s="562" t="s">
        <v>1522</v>
      </c>
      <c r="B34" s="563"/>
      <c r="C34" s="331" t="s">
        <v>1116</v>
      </c>
      <c r="D34" s="346" t="s">
        <v>1117</v>
      </c>
      <c r="E34" s="536" t="s">
        <v>1802</v>
      </c>
      <c r="F34" s="36"/>
      <c r="G34" s="36"/>
      <c r="H34" s="36"/>
      <c r="I34" s="36"/>
      <c r="J34" s="36"/>
      <c r="K34" s="36"/>
      <c r="L34" s="344" t="s">
        <v>1844</v>
      </c>
    </row>
    <row r="35" spans="1:12" ht="13.5" customHeight="1" x14ac:dyDescent="0.2">
      <c r="A35" s="564"/>
      <c r="B35" s="565"/>
      <c r="C35" s="331" t="s">
        <v>1046</v>
      </c>
      <c r="D35" s="346" t="s">
        <v>1523</v>
      </c>
      <c r="E35" s="351" t="s">
        <v>1804</v>
      </c>
      <c r="F35" s="36"/>
      <c r="G35" s="36"/>
      <c r="H35" s="36"/>
      <c r="I35" s="36"/>
      <c r="J35" s="36"/>
      <c r="K35" s="36"/>
      <c r="L35" s="344" t="s">
        <v>1842</v>
      </c>
    </row>
    <row r="36" spans="1:12" ht="25" customHeight="1" x14ac:dyDescent="0.2">
      <c r="A36" s="562" t="s">
        <v>1258</v>
      </c>
      <c r="B36" s="563"/>
      <c r="C36" s="341" t="s">
        <v>1360</v>
      </c>
      <c r="D36" s="345" t="s">
        <v>1361</v>
      </c>
      <c r="E36" s="537" t="s">
        <v>1849</v>
      </c>
      <c r="F36" s="36"/>
      <c r="G36" s="36"/>
      <c r="H36" s="36"/>
      <c r="I36" s="36"/>
      <c r="J36" s="36"/>
      <c r="K36" s="36"/>
      <c r="L36" s="344" t="s">
        <v>1526</v>
      </c>
    </row>
    <row r="37" spans="1:12" ht="13.5" customHeight="1" x14ac:dyDescent="0.2">
      <c r="A37" s="566"/>
      <c r="B37" s="567"/>
      <c r="C37" s="331" t="s">
        <v>1118</v>
      </c>
      <c r="D37" s="346" t="s">
        <v>1744</v>
      </c>
      <c r="E37" s="536" t="s">
        <v>1803</v>
      </c>
      <c r="F37" s="36"/>
      <c r="G37" s="36"/>
      <c r="H37" s="36"/>
      <c r="I37" s="36"/>
      <c r="J37" s="36"/>
      <c r="K37" s="36"/>
      <c r="L37" s="344" t="s">
        <v>1845</v>
      </c>
    </row>
    <row r="38" spans="1:12" ht="15" customHeight="1" x14ac:dyDescent="0.2">
      <c r="A38" s="564"/>
      <c r="B38" s="565"/>
      <c r="C38" s="331" t="s">
        <v>1047</v>
      </c>
      <c r="D38" s="346" t="s">
        <v>1524</v>
      </c>
      <c r="E38" s="351" t="s">
        <v>1222</v>
      </c>
      <c r="F38" s="36"/>
      <c r="G38" s="36"/>
      <c r="H38" s="36"/>
      <c r="I38" s="36"/>
      <c r="J38" s="36"/>
      <c r="K38" s="36"/>
      <c r="L38" s="344" t="s">
        <v>1841</v>
      </c>
    </row>
    <row r="39" spans="1:12" ht="13.5" customHeight="1" x14ac:dyDescent="0.2">
      <c r="A39" s="562" t="s">
        <v>1259</v>
      </c>
      <c r="B39" s="563"/>
      <c r="C39" s="341" t="s">
        <v>280</v>
      </c>
      <c r="D39" s="345" t="s">
        <v>1448</v>
      </c>
      <c r="E39" s="351" t="s">
        <v>699</v>
      </c>
      <c r="F39" s="36"/>
      <c r="G39" s="36"/>
      <c r="H39" s="36"/>
      <c r="I39" s="36"/>
      <c r="J39" s="36"/>
      <c r="K39" s="36"/>
      <c r="L39" s="352"/>
    </row>
    <row r="40" spans="1:12" ht="13.5" customHeight="1" x14ac:dyDescent="0.2">
      <c r="A40" s="566"/>
      <c r="B40" s="567"/>
      <c r="C40" s="331" t="s">
        <v>279</v>
      </c>
      <c r="D40" s="346" t="s">
        <v>1525</v>
      </c>
      <c r="E40" s="351" t="s">
        <v>278</v>
      </c>
      <c r="F40" s="36"/>
      <c r="G40" s="36"/>
      <c r="H40" s="36"/>
      <c r="I40" s="36"/>
      <c r="J40" s="36"/>
      <c r="K40" s="36"/>
      <c r="L40" s="344"/>
    </row>
    <row r="41" spans="1:12" ht="13.5" customHeight="1" x14ac:dyDescent="0.2">
      <c r="A41" s="566"/>
      <c r="B41" s="567"/>
      <c r="C41" s="331" t="s">
        <v>277</v>
      </c>
      <c r="D41" s="346" t="s">
        <v>1449</v>
      </c>
      <c r="E41" s="351" t="s">
        <v>276</v>
      </c>
      <c r="F41" s="36"/>
      <c r="G41" s="36"/>
      <c r="H41" s="36"/>
      <c r="I41" s="36"/>
      <c r="J41" s="36"/>
      <c r="K41" s="36"/>
      <c r="L41" s="344"/>
    </row>
    <row r="42" spans="1:12" ht="13.5" customHeight="1" x14ac:dyDescent="0.2">
      <c r="A42" s="566"/>
      <c r="B42" s="567"/>
      <c r="C42" s="331" t="s">
        <v>275</v>
      </c>
      <c r="D42" s="346" t="s">
        <v>1450</v>
      </c>
      <c r="E42" s="351" t="s">
        <v>274</v>
      </c>
      <c r="F42" s="36"/>
      <c r="G42" s="36"/>
      <c r="H42" s="36"/>
      <c r="I42" s="36"/>
      <c r="J42" s="36"/>
      <c r="K42" s="36"/>
      <c r="L42" s="344"/>
    </row>
    <row r="43" spans="1:12" ht="13.5" customHeight="1" x14ac:dyDescent="0.2">
      <c r="A43" s="566"/>
      <c r="B43" s="567"/>
      <c r="C43" s="331" t="s">
        <v>1441</v>
      </c>
      <c r="D43" s="346" t="s">
        <v>1451</v>
      </c>
      <c r="E43" s="351" t="s">
        <v>1443</v>
      </c>
      <c r="F43" s="36"/>
      <c r="G43" s="36"/>
      <c r="H43" s="36"/>
      <c r="I43" s="36"/>
      <c r="J43" s="36"/>
      <c r="K43" s="36"/>
      <c r="L43" s="344"/>
    </row>
    <row r="44" spans="1:12" ht="13.5" customHeight="1" x14ac:dyDescent="0.2">
      <c r="A44" s="564"/>
      <c r="B44" s="565"/>
      <c r="C44" s="331" t="s">
        <v>1442</v>
      </c>
      <c r="D44" s="346" t="s">
        <v>1452</v>
      </c>
      <c r="E44" s="351" t="s">
        <v>1444</v>
      </c>
      <c r="F44" s="36"/>
      <c r="G44" s="36"/>
      <c r="H44" s="36"/>
      <c r="I44" s="36"/>
      <c r="J44" s="36"/>
      <c r="K44" s="36"/>
      <c r="L44" s="344"/>
    </row>
    <row r="45" spans="1:12" ht="13.5" customHeight="1" x14ac:dyDescent="0.2">
      <c r="A45" s="569" t="s">
        <v>334</v>
      </c>
      <c r="B45" s="571"/>
      <c r="C45" s="353" t="s">
        <v>273</v>
      </c>
      <c r="D45" s="354" t="s">
        <v>1854</v>
      </c>
      <c r="E45" s="355" t="s">
        <v>1048</v>
      </c>
      <c r="F45" s="356"/>
      <c r="G45" s="356"/>
      <c r="H45" s="356"/>
      <c r="I45" s="356"/>
      <c r="J45" s="356"/>
      <c r="K45" s="501" t="s">
        <v>1038</v>
      </c>
      <c r="L45" s="561" t="s">
        <v>1843</v>
      </c>
    </row>
    <row r="46" spans="1:12" ht="13.5" customHeight="1" x14ac:dyDescent="0.2">
      <c r="A46" s="569"/>
      <c r="B46" s="571"/>
      <c r="C46" s="357" t="s">
        <v>272</v>
      </c>
      <c r="D46" s="358" t="s">
        <v>1855</v>
      </c>
      <c r="E46" s="572" t="s">
        <v>1049</v>
      </c>
      <c r="F46" s="359"/>
      <c r="G46" s="359"/>
      <c r="H46" s="359"/>
      <c r="I46" s="359"/>
      <c r="J46" s="359"/>
      <c r="K46" s="500"/>
      <c r="L46" s="561"/>
    </row>
    <row r="47" spans="1:12" ht="13.5" customHeight="1" x14ac:dyDescent="0.2">
      <c r="A47" s="569"/>
      <c r="B47" s="571"/>
      <c r="C47" s="360" t="s">
        <v>271</v>
      </c>
      <c r="D47" s="361"/>
      <c r="E47" s="573"/>
      <c r="F47" s="356"/>
      <c r="G47" s="356"/>
      <c r="H47" s="356"/>
      <c r="I47" s="356"/>
      <c r="J47" s="356"/>
      <c r="K47" s="501"/>
      <c r="L47" s="561"/>
    </row>
    <row r="48" spans="1:12" ht="13.5" customHeight="1" x14ac:dyDescent="0.2">
      <c r="A48" s="569"/>
      <c r="B48" s="571"/>
      <c r="C48" s="357" t="s">
        <v>270</v>
      </c>
      <c r="D48" s="362" t="s">
        <v>1856</v>
      </c>
      <c r="E48" s="363" t="s">
        <v>1050</v>
      </c>
      <c r="F48" s="364"/>
      <c r="G48" s="364"/>
      <c r="H48" s="364"/>
      <c r="I48" s="364"/>
      <c r="J48" s="364"/>
      <c r="K48" s="499"/>
      <c r="L48" s="561"/>
    </row>
    <row r="49" spans="1:12" ht="25.5" customHeight="1" x14ac:dyDescent="0.2">
      <c r="A49" s="365"/>
      <c r="B49" s="546" t="s">
        <v>268</v>
      </c>
      <c r="C49" s="366" t="s">
        <v>1838</v>
      </c>
      <c r="D49" s="362" t="s">
        <v>1752</v>
      </c>
      <c r="E49" s="367" t="s">
        <v>1753</v>
      </c>
      <c r="F49" s="364"/>
      <c r="G49" s="364"/>
      <c r="H49" s="364"/>
      <c r="I49" s="364"/>
      <c r="J49" s="499" t="s">
        <v>1038</v>
      </c>
      <c r="K49" s="499"/>
      <c r="L49" s="561"/>
    </row>
    <row r="50" spans="1:12" ht="13.5" customHeight="1" x14ac:dyDescent="0.2">
      <c r="A50" s="568" t="s">
        <v>269</v>
      </c>
      <c r="B50" s="547"/>
      <c r="C50" s="366" t="s">
        <v>267</v>
      </c>
      <c r="D50" s="362" t="s">
        <v>266</v>
      </c>
      <c r="E50" s="367" t="s">
        <v>1778</v>
      </c>
      <c r="F50" s="364"/>
      <c r="G50" s="364"/>
      <c r="H50" s="364"/>
      <c r="I50" s="364"/>
      <c r="J50" s="364"/>
      <c r="K50" s="499" t="s">
        <v>281</v>
      </c>
      <c r="L50" s="561"/>
    </row>
    <row r="51" spans="1:12" ht="13.5" customHeight="1" x14ac:dyDescent="0.2">
      <c r="A51" s="569"/>
      <c r="B51" s="547"/>
      <c r="C51" s="366" t="s">
        <v>1815</v>
      </c>
      <c r="D51" s="362" t="s">
        <v>1816</v>
      </c>
      <c r="E51" s="367" t="s">
        <v>1813</v>
      </c>
      <c r="F51" s="364"/>
      <c r="G51" s="364"/>
      <c r="H51" s="364"/>
      <c r="I51" s="364"/>
      <c r="J51" s="364"/>
      <c r="K51" s="499" t="s">
        <v>1038</v>
      </c>
      <c r="L51" s="561"/>
    </row>
    <row r="52" spans="1:12" ht="13.5" customHeight="1" x14ac:dyDescent="0.2">
      <c r="A52" s="569"/>
      <c r="B52" s="547"/>
      <c r="C52" s="357" t="s">
        <v>1363</v>
      </c>
      <c r="D52" s="476" t="s">
        <v>1364</v>
      </c>
      <c r="E52" s="363" t="s">
        <v>1775</v>
      </c>
      <c r="F52" s="499" t="s">
        <v>281</v>
      </c>
      <c r="G52" s="359"/>
      <c r="H52" s="359"/>
      <c r="I52" s="359"/>
      <c r="J52" s="359"/>
      <c r="K52" s="499" t="s">
        <v>281</v>
      </c>
      <c r="L52" s="561"/>
    </row>
    <row r="53" spans="1:12" ht="13.5" customHeight="1" x14ac:dyDescent="0.2">
      <c r="A53" s="569"/>
      <c r="B53" s="547"/>
      <c r="C53" s="357" t="s">
        <v>1837</v>
      </c>
      <c r="D53" s="476" t="s">
        <v>1811</v>
      </c>
      <c r="E53" s="363" t="s">
        <v>1817</v>
      </c>
      <c r="F53" s="500"/>
      <c r="G53" s="359"/>
      <c r="H53" s="359"/>
      <c r="I53" s="359"/>
      <c r="J53" s="359"/>
      <c r="K53" s="499" t="s">
        <v>281</v>
      </c>
      <c r="L53" s="561"/>
    </row>
    <row r="54" spans="1:12" ht="13.5" customHeight="1" x14ac:dyDescent="0.2">
      <c r="A54" s="569"/>
      <c r="B54" s="547"/>
      <c r="C54" s="357" t="s">
        <v>1836</v>
      </c>
      <c r="D54" s="476" t="s">
        <v>1812</v>
      </c>
      <c r="E54" s="363" t="s">
        <v>1818</v>
      </c>
      <c r="F54" s="500"/>
      <c r="G54" s="359"/>
      <c r="H54" s="359"/>
      <c r="I54" s="359"/>
      <c r="J54" s="359"/>
      <c r="K54" s="499" t="s">
        <v>281</v>
      </c>
      <c r="L54" s="561"/>
    </row>
    <row r="55" spans="1:12" ht="13.5" customHeight="1" x14ac:dyDescent="0.2">
      <c r="A55" s="569"/>
      <c r="B55" s="547"/>
      <c r="C55" s="357" t="s">
        <v>1835</v>
      </c>
      <c r="D55" s="476" t="s">
        <v>1810</v>
      </c>
      <c r="E55" s="363" t="s">
        <v>1819</v>
      </c>
      <c r="F55" s="500"/>
      <c r="G55" s="359"/>
      <c r="H55" s="359"/>
      <c r="I55" s="359"/>
      <c r="J55" s="359"/>
      <c r="K55" s="499" t="s">
        <v>281</v>
      </c>
      <c r="L55" s="561"/>
    </row>
    <row r="56" spans="1:12" ht="13.5" customHeight="1" x14ac:dyDescent="0.2">
      <c r="A56" s="569"/>
      <c r="B56" s="547"/>
      <c r="C56" s="357" t="s">
        <v>1743</v>
      </c>
      <c r="D56" s="504" t="s">
        <v>1774</v>
      </c>
      <c r="E56" s="505" t="s">
        <v>1776</v>
      </c>
      <c r="F56" s="359"/>
      <c r="G56" s="359"/>
      <c r="H56" s="359"/>
      <c r="I56" s="359"/>
      <c r="J56" s="359"/>
      <c r="K56" s="499" t="s">
        <v>281</v>
      </c>
      <c r="L56" s="561"/>
    </row>
    <row r="57" spans="1:12" ht="13.5" customHeight="1" x14ac:dyDescent="0.2">
      <c r="A57" s="569"/>
      <c r="B57" s="547"/>
      <c r="C57" s="366" t="s">
        <v>1857</v>
      </c>
      <c r="D57" s="362" t="s">
        <v>1814</v>
      </c>
      <c r="E57" s="367" t="s">
        <v>1779</v>
      </c>
      <c r="F57" s="364"/>
      <c r="G57" s="364"/>
      <c r="H57" s="364"/>
      <c r="I57" s="364"/>
      <c r="J57" s="364"/>
      <c r="K57" s="499" t="s">
        <v>281</v>
      </c>
      <c r="L57" s="561"/>
    </row>
    <row r="58" spans="1:12" ht="13.5" customHeight="1" thickBot="1" x14ac:dyDescent="0.25">
      <c r="A58" s="569"/>
      <c r="B58" s="548"/>
      <c r="C58" s="357" t="s">
        <v>1834</v>
      </c>
      <c r="D58" s="504" t="s">
        <v>1809</v>
      </c>
      <c r="E58" s="505" t="s">
        <v>1820</v>
      </c>
      <c r="F58" s="359"/>
      <c r="G58" s="359"/>
      <c r="H58" s="359"/>
      <c r="I58" s="359"/>
      <c r="J58" s="359"/>
      <c r="K58" s="499" t="s">
        <v>281</v>
      </c>
      <c r="L58" s="561"/>
    </row>
    <row r="59" spans="1:12" ht="25.5" customHeight="1" x14ac:dyDescent="0.2">
      <c r="A59" s="549" t="s">
        <v>1869</v>
      </c>
      <c r="B59" s="550"/>
      <c r="C59" s="506" t="s">
        <v>1358</v>
      </c>
      <c r="D59" s="507" t="s">
        <v>1356</v>
      </c>
      <c r="E59" s="506" t="s">
        <v>1359</v>
      </c>
      <c r="F59" s="508"/>
      <c r="G59" s="508"/>
      <c r="H59" s="508"/>
      <c r="I59" s="508"/>
      <c r="J59" s="508"/>
      <c r="K59" s="508"/>
      <c r="L59" s="515" t="s">
        <v>1863</v>
      </c>
    </row>
    <row r="60" spans="1:12" ht="14" x14ac:dyDescent="0.2">
      <c r="A60" s="551"/>
      <c r="B60" s="552"/>
      <c r="C60" s="509" t="s">
        <v>1357</v>
      </c>
      <c r="D60" s="510" t="s">
        <v>1828</v>
      </c>
      <c r="E60" s="518" t="s">
        <v>1832</v>
      </c>
      <c r="F60" s="511"/>
      <c r="G60" s="511"/>
      <c r="H60" s="511"/>
      <c r="I60" s="511"/>
      <c r="J60" s="511"/>
      <c r="K60" s="522" t="s">
        <v>1365</v>
      </c>
      <c r="L60" s="516" t="s">
        <v>1831</v>
      </c>
    </row>
    <row r="61" spans="1:12" ht="14" x14ac:dyDescent="0.2">
      <c r="A61" s="551"/>
      <c r="B61" s="552"/>
      <c r="C61" s="538" t="s">
        <v>1827</v>
      </c>
      <c r="D61" s="539" t="s">
        <v>1829</v>
      </c>
      <c r="E61" s="540" t="s">
        <v>1833</v>
      </c>
      <c r="F61" s="541"/>
      <c r="G61" s="541"/>
      <c r="H61" s="541"/>
      <c r="I61" s="541"/>
      <c r="J61" s="541"/>
      <c r="K61" s="542"/>
      <c r="L61" s="543" t="s">
        <v>1830</v>
      </c>
    </row>
    <row r="62" spans="1:12" ht="14.5" thickBot="1" x14ac:dyDescent="0.25">
      <c r="A62" s="553"/>
      <c r="B62" s="554"/>
      <c r="C62" s="512" t="s">
        <v>1866</v>
      </c>
      <c r="D62" s="513" t="s">
        <v>1864</v>
      </c>
      <c r="E62" s="544" t="s">
        <v>1865</v>
      </c>
      <c r="F62" s="514"/>
      <c r="G62" s="514"/>
      <c r="H62" s="514"/>
      <c r="I62" s="514"/>
      <c r="J62" s="514"/>
      <c r="K62" s="519" t="s">
        <v>1365</v>
      </c>
      <c r="L62" s="517" t="s">
        <v>1867</v>
      </c>
    </row>
    <row r="63" spans="1:12" ht="12" thickTop="1" x14ac:dyDescent="0.2"/>
  </sheetData>
  <mergeCells count="31">
    <mergeCell ref="L28:L31"/>
    <mergeCell ref="A1:B1"/>
    <mergeCell ref="A8:B13"/>
    <mergeCell ref="A14:B17"/>
    <mergeCell ref="A18:B21"/>
    <mergeCell ref="A2:B7"/>
    <mergeCell ref="C2:C3"/>
    <mergeCell ref="C8:C10"/>
    <mergeCell ref="E46:E47"/>
    <mergeCell ref="A22:B25"/>
    <mergeCell ref="C26:C27"/>
    <mergeCell ref="C28:C31"/>
    <mergeCell ref="E28:E31"/>
    <mergeCell ref="A26:B33"/>
    <mergeCell ref="A39:B44"/>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s>
  <phoneticPr fontId="1"/>
  <printOptions horizontalCentered="1"/>
  <pageMargins left="0.70866141732283472" right="0.70866141732283472" top="0.74803149606299213" bottom="0.74803149606299213" header="0.31496062992125984" footer="0.31496062992125984"/>
  <pageSetup paperSize="9" scale="49"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36" zoomScaleNormal="100" workbookViewId="0">
      <selection activeCell="D48" sqref="D48"/>
    </sheetView>
  </sheetViews>
  <sheetFormatPr defaultColWidth="9" defaultRowHeight="11.5" x14ac:dyDescent="0.2"/>
  <cols>
    <col min="1" max="1" width="2.7265625" style="14" customWidth="1"/>
    <col min="2" max="2" width="27.6328125" style="14" customWidth="1"/>
    <col min="3" max="3" width="8.6328125" style="14" customWidth="1"/>
    <col min="4" max="4" width="14.1796875" style="14" customWidth="1"/>
    <col min="5" max="5" width="3.453125" style="14" customWidth="1"/>
    <col min="6" max="6" width="13.81640625" style="14" customWidth="1"/>
    <col min="7" max="7" width="13.7265625" style="14" customWidth="1"/>
    <col min="8" max="8" width="7" style="14" customWidth="1"/>
    <col min="9" max="9" width="2.7265625" style="288" customWidth="1"/>
    <col min="10" max="10" width="3.6328125" style="14" customWidth="1"/>
    <col min="11" max="11" width="9.1796875" style="14" customWidth="1"/>
    <col min="12" max="12" width="15.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
        <v>95</v>
      </c>
      <c r="D1" s="17" t="s">
        <v>43</v>
      </c>
      <c r="E1" s="18" t="s">
        <v>44</v>
      </c>
      <c r="F1" s="17" t="s">
        <v>55</v>
      </c>
      <c r="G1" s="17" t="s">
        <v>105</v>
      </c>
      <c r="H1" s="18" t="s">
        <v>1380</v>
      </c>
      <c r="I1" s="293" t="s">
        <v>720</v>
      </c>
      <c r="J1" s="19"/>
      <c r="K1" s="56" t="s">
        <v>46</v>
      </c>
      <c r="L1" s="20"/>
    </row>
    <row r="2" spans="1:37" ht="13.5" customHeight="1" x14ac:dyDescent="0.2">
      <c r="A2" s="585"/>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
        <v>1065</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6" t="s">
        <v>678</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85"/>
      <c r="B17" s="2" t="s">
        <v>683</v>
      </c>
      <c r="C17" s="6" t="s">
        <v>1377</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85"/>
      <c r="B18" s="2" t="s">
        <v>684</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
        <v>219</v>
      </c>
      <c r="C19" s="2" t="s">
        <v>1378</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
        <v>221</v>
      </c>
      <c r="C20" s="2" t="s">
        <v>1379</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
        <v>729</v>
      </c>
      <c r="C22" s="2" t="s">
        <v>669</v>
      </c>
      <c r="D22" s="29">
        <f>1/D4</f>
        <v>3289841960249982</v>
      </c>
      <c r="E22" s="30">
        <f>-E4</f>
        <v>-14</v>
      </c>
      <c r="F22" s="29">
        <f t="shared" si="4"/>
        <v>2.5623449238312404</v>
      </c>
      <c r="G22" s="21"/>
      <c r="H22" s="21"/>
      <c r="I22" s="278"/>
      <c r="J22" s="8">
        <v>0</v>
      </c>
      <c r="K22" s="58">
        <f t="shared" si="1"/>
        <v>2.5623449238312404</v>
      </c>
      <c r="L22" s="118" t="s">
        <v>670</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
        <v>722</v>
      </c>
      <c r="C23" s="2" t="s">
        <v>1514</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
        <v>723</v>
      </c>
      <c r="C24" s="2" t="s">
        <v>1515</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
        <v>1516</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
        <v>724</v>
      </c>
      <c r="C26" s="2" t="s">
        <v>1517</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
        <v>725</v>
      </c>
      <c r="C27" s="2" t="s">
        <v>663</v>
      </c>
      <c r="D27" s="21">
        <f>D7/D4</f>
        <v>5.4629110998228837E-9</v>
      </c>
      <c r="E27" s="8">
        <f>E7-E4</f>
        <v>10</v>
      </c>
      <c r="F27" s="21">
        <f t="shared" ref="F27" si="10">D27*POWER(12,E27)</f>
        <v>338.24905629106593</v>
      </c>
      <c r="G27" s="21"/>
      <c r="H27" s="21"/>
      <c r="I27" s="278"/>
      <c r="J27" s="8">
        <v>0</v>
      </c>
      <c r="K27" s="58">
        <f t="shared" si="1"/>
        <v>338.24905629106593</v>
      </c>
      <c r="L27" s="118" t="s">
        <v>662</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
        <v>726</v>
      </c>
      <c r="C28" s="2" t="s">
        <v>661</v>
      </c>
      <c r="D28" s="21">
        <f>1/D4</f>
        <v>3289841960249982</v>
      </c>
      <c r="E28" s="8">
        <f>-E4</f>
        <v>-14</v>
      </c>
      <c r="F28" s="21">
        <f t="shared" ref="F28" si="11">D28*POWER(12,E28)</f>
        <v>2.5623449238312404</v>
      </c>
      <c r="G28" s="21"/>
      <c r="H28" s="21"/>
      <c r="I28" s="278"/>
      <c r="J28" s="8">
        <v>0</v>
      </c>
      <c r="K28" s="58">
        <f t="shared" si="1"/>
        <v>2.5623449238312404</v>
      </c>
      <c r="L28" s="118" t="s">
        <v>664</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
        <v>727</v>
      </c>
      <c r="C29" s="2" t="s">
        <v>665</v>
      </c>
      <c r="D29" s="21">
        <f>D5/D8</f>
        <v>8.987551787368176E+16</v>
      </c>
      <c r="E29" s="8">
        <f>E5-E8</f>
        <v>-16</v>
      </c>
      <c r="F29" s="21">
        <f t="shared" ref="F29" si="12">D29*POWER(12,E29)</f>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
        <v>728</v>
      </c>
      <c r="C30" s="4" t="s">
        <v>1518</v>
      </c>
      <c r="D30" s="21">
        <f>D5/D8/R30</f>
        <v>8.987551787368176E+16</v>
      </c>
      <c r="E30" s="33">
        <f>E5-E8</f>
        <v>-16</v>
      </c>
      <c r="F30" s="32">
        <f t="shared" ref="F30" si="13">D30*POWER(12,E30)</f>
        <v>0.48611773879952869</v>
      </c>
      <c r="G30" s="29"/>
      <c r="H30" s="32"/>
      <c r="I30" s="282"/>
      <c r="J30" s="30">
        <v>0</v>
      </c>
      <c r="K30" s="59">
        <f t="shared" si="1"/>
        <v>0.48611773879952869</v>
      </c>
      <c r="L30" s="119"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
        <v>95</v>
      </c>
      <c r="D31" s="17" t="s">
        <v>43</v>
      </c>
      <c r="E31" s="18" t="s">
        <v>54</v>
      </c>
      <c r="F31" s="17" t="s">
        <v>47</v>
      </c>
      <c r="G31" s="17" t="s">
        <v>45</v>
      </c>
      <c r="H31" s="18" t="str">
        <f>Rydberg!H$1</f>
        <v>difference</v>
      </c>
      <c r="I31" s="283"/>
      <c r="J31" s="579" t="s">
        <v>80</v>
      </c>
      <c r="K31" s="580"/>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85"/>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85"/>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85"/>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85"/>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85"/>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85"/>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85"/>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85"/>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85"/>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85"/>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85"/>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85"/>
      <c r="B43" s="3" t="s">
        <v>1211</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85"/>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85"/>
      <c r="B45" s="3" t="s">
        <v>1213</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85"/>
      <c r="B46" s="3" t="s">
        <v>1154</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85"/>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85"/>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85"/>
      <c r="B49" s="3" t="s">
        <v>1155</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85"/>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85"/>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85"/>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85"/>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85"/>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85"/>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85"/>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85"/>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85"/>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85"/>
      <c r="B59" s="224" t="s">
        <v>653</v>
      </c>
      <c r="C59" s="6" t="s">
        <v>1376</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85"/>
      <c r="B60" s="267">
        <v>1.024</v>
      </c>
      <c r="C60" s="3" t="s">
        <v>707</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85"/>
      <c r="B61" s="3" t="s">
        <v>706</v>
      </c>
      <c r="C61" s="3" t="s">
        <v>705</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85"/>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85"/>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85"/>
      <c r="B64" s="3" t="s">
        <v>1270</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85"/>
      <c r="B65" s="3" t="s">
        <v>1271</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85"/>
      <c r="B66" s="3" t="s">
        <v>1272</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85"/>
      <c r="B67" s="3" t="s">
        <v>1273</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85"/>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85"/>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86"/>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1"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2"/>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2"/>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2"/>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2"/>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2"/>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2"/>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2"/>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2"/>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2"/>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2"/>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2"/>
      <c r="B84" s="30" t="s">
        <v>1214</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2"/>
      <c r="B85" s="30" t="s">
        <v>1215</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1375</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2"/>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2"/>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3"/>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1519</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721</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1498</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D39" sqref="D39"/>
    </sheetView>
  </sheetViews>
  <sheetFormatPr defaultColWidth="9" defaultRowHeight="11.5" x14ac:dyDescent="0.2"/>
  <cols>
    <col min="1" max="1" width="2.7265625" style="14" customWidth="1"/>
    <col min="2" max="2" width="26.81640625" style="14" customWidth="1"/>
    <col min="3" max="3" width="8.6328125" style="14" customWidth="1"/>
    <col min="4" max="4" width="14.1796875" style="14" customWidth="1"/>
    <col min="5" max="5" width="3.453125" style="14" customWidth="1"/>
    <col min="6"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107</v>
      </c>
      <c r="H1" s="18" t="str">
        <f>Rydberg!H$1</f>
        <v>difference</v>
      </c>
      <c r="I1" s="293" t="s">
        <v>720</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670</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662</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3278504862476250.5</v>
      </c>
      <c r="E28" s="8">
        <f>-E4</f>
        <v>-14</v>
      </c>
      <c r="F28" s="21">
        <f t="shared" si="0"/>
        <v>2.553514847711325</v>
      </c>
      <c r="G28" s="21"/>
      <c r="H28" s="21"/>
      <c r="I28" s="278"/>
      <c r="J28" s="8">
        <v>0</v>
      </c>
      <c r="K28" s="58">
        <f t="shared" si="1"/>
        <v>2.553514847711325</v>
      </c>
      <c r="L28" s="118" t="s">
        <v>664</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85"/>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85"/>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85"/>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85"/>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85"/>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85"/>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85"/>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85"/>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85"/>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85"/>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85"/>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2"/>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2"/>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2"/>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2"/>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2"/>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2"/>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2"/>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2"/>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2"/>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2"/>
      <c r="B84" s="30" t="s">
        <v>1214</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2"/>
      <c r="B85" s="30" t="s">
        <v>1215</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2"/>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2"/>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3"/>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1519</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721</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1498</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1.5" x14ac:dyDescent="0.2"/>
  <cols>
    <col min="1" max="1" width="2.7265625" style="14" customWidth="1"/>
    <col min="2" max="2" width="30" style="14" customWidth="1"/>
    <col min="3" max="3" width="8.6328125" style="14" customWidth="1"/>
    <col min="4" max="4" width="14.7265625" style="14" customWidth="1"/>
    <col min="5" max="5" width="3.453125" style="14" customWidth="1"/>
    <col min="6" max="6" width="14.6328125" style="14" customWidth="1"/>
    <col min="7"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632812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1164</v>
      </c>
      <c r="H1" s="18" t="str">
        <f>Rydberg!H$1</f>
        <v>difference</v>
      </c>
      <c r="I1" s="293" t="s">
        <v>720</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1159</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1160</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1161</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1162</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746</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1163</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753</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0</v>
      </c>
      <c r="F30" s="32">
        <f t="shared" si="0"/>
        <v>8.987551787368176E+16</v>
      </c>
      <c r="G30" s="32"/>
      <c r="H30" s="32"/>
      <c r="I30" s="282"/>
      <c r="J30" s="33">
        <f t="shared" si="1"/>
        <v>15</v>
      </c>
      <c r="K30" s="60">
        <f t="shared" si="2"/>
        <v>89.875517873681758</v>
      </c>
      <c r="L30" s="124" t="s">
        <v>754</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85"/>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85"/>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85"/>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85"/>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85"/>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85"/>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85"/>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85"/>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85"/>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85"/>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85"/>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85"/>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85"/>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85"/>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85"/>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85"/>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85"/>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85"/>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85"/>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85"/>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85"/>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85"/>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85"/>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85"/>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85"/>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85"/>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85"/>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85"/>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85"/>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85"/>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2"/>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2"/>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2"/>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2"/>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2"/>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2"/>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2"/>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2"/>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2"/>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2"/>
      <c r="B84" s="30" t="s">
        <v>1214</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2"/>
      <c r="B85" s="30" t="s">
        <v>1215</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2"/>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2"/>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3"/>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x14ac:dyDescent="0.2">
      <c r="B92" s="3" t="s">
        <v>1519</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x14ac:dyDescent="0.2">
      <c r="B93" s="3" t="s">
        <v>721</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x14ac:dyDescent="0.2">
      <c r="B94" s="14" t="s">
        <v>1498</v>
      </c>
      <c r="D94" s="193">
        <f>F22*F94</f>
        <v>6.7090802559359998E+56</v>
      </c>
      <c r="F94" s="193">
        <f>G94*POWER(12,J94)</f>
        <v>213986410758144</v>
      </c>
      <c r="G94" s="209">
        <v>2</v>
      </c>
      <c r="J94" s="14">
        <v>13</v>
      </c>
      <c r="K94" s="79"/>
      <c r="L94" s="79"/>
      <c r="M94" s="79"/>
    </row>
    <row r="95" spans="1:37" x14ac:dyDescent="0.2">
      <c r="I95" s="14"/>
    </row>
    <row r="96" spans="1:37" x14ac:dyDescent="0.2">
      <c r="D96" s="441">
        <f>D$6*POWER(12,-27)-273.15</f>
        <v>-98.818435406316524</v>
      </c>
      <c r="E96" s="14" t="s">
        <v>1165</v>
      </c>
      <c r="F96" s="14" t="s">
        <v>1166</v>
      </c>
      <c r="I96" s="14"/>
    </row>
    <row r="97" spans="2:9" x14ac:dyDescent="0.2">
      <c r="D97" s="441">
        <f>2*D$6*POWER(12,-27)-273.15</f>
        <v>75.513129187366928</v>
      </c>
      <c r="E97" s="14" t="s">
        <v>1165</v>
      </c>
      <c r="F97" s="14" t="s">
        <v>1167</v>
      </c>
      <c r="I97" s="14"/>
    </row>
    <row r="98" spans="2:9" x14ac:dyDescent="0.2">
      <c r="D98" s="441">
        <f>D$6*POWER(12,-26)-273.15</f>
        <v>1818.8287751242015</v>
      </c>
      <c r="E98" s="14" t="s">
        <v>1165</v>
      </c>
      <c r="F98" s="14" t="s">
        <v>1168</v>
      </c>
      <c r="I98" s="14"/>
    </row>
    <row r="99" spans="2:9" x14ac:dyDescent="0.2">
      <c r="D99" s="441">
        <f>3*D$6*POWER(12,-26)-273.15</f>
        <v>6002.7863253726046</v>
      </c>
      <c r="E99" s="14" t="s">
        <v>1165</v>
      </c>
      <c r="F99" s="14" t="s">
        <v>1169</v>
      </c>
      <c r="I99" s="14"/>
    </row>
    <row r="100" spans="2:9" x14ac:dyDescent="0.2">
      <c r="D100" s="441"/>
      <c r="I100" s="14"/>
    </row>
    <row r="101" spans="2:9" ht="22.5" x14ac:dyDescent="0.2">
      <c r="B101" s="591" t="s">
        <v>1254</v>
      </c>
      <c r="C101" s="591"/>
      <c r="D101" s="591"/>
      <c r="E101" s="591"/>
      <c r="F101" s="591"/>
      <c r="G101" s="591"/>
      <c r="H101" s="591"/>
      <c r="I101" s="14"/>
    </row>
    <row r="102" spans="2:9" ht="6.9" customHeight="1" x14ac:dyDescent="0.2">
      <c r="D102" s="441"/>
      <c r="I102" s="14"/>
    </row>
    <row r="103" spans="2:9" s="434" customFormat="1" ht="25.25" customHeight="1" x14ac:dyDescent="0.2">
      <c r="B103" s="592" t="s">
        <v>1513</v>
      </c>
      <c r="C103" s="592"/>
      <c r="D103" s="592"/>
      <c r="E103" s="592"/>
      <c r="F103" s="592"/>
      <c r="G103" s="592"/>
      <c r="H103" s="592"/>
    </row>
    <row r="104" spans="2:9" x14ac:dyDescent="0.2">
      <c r="D104" s="441"/>
      <c r="I104" s="14"/>
    </row>
    <row r="105" spans="2:9" x14ac:dyDescent="0.2">
      <c r="D105" s="441"/>
      <c r="I105" s="14"/>
    </row>
    <row r="106" spans="2:9" x14ac:dyDescent="0.2">
      <c r="D106" s="441"/>
      <c r="I106" s="14"/>
    </row>
    <row r="107" spans="2:9" x14ac:dyDescent="0.2">
      <c r="D107" s="441"/>
      <c r="I107" s="14"/>
    </row>
    <row r="108" spans="2:9" x14ac:dyDescent="0.2">
      <c r="D108" s="441"/>
      <c r="I108" s="14"/>
    </row>
    <row r="109" spans="2:9" ht="4.75" customHeight="1" x14ac:dyDescent="0.2">
      <c r="I109" s="14"/>
    </row>
    <row r="110" spans="2:9" x14ac:dyDescent="0.2">
      <c r="B110" s="449" t="s">
        <v>1189</v>
      </c>
      <c r="C110" s="590" t="s">
        <v>1190</v>
      </c>
      <c r="D110" s="590"/>
      <c r="E110" s="590" t="s">
        <v>1191</v>
      </c>
      <c r="F110" s="590"/>
      <c r="G110" s="590"/>
      <c r="H110" s="447" t="s">
        <v>1192</v>
      </c>
      <c r="I110" s="14"/>
    </row>
    <row r="111" spans="2:9" x14ac:dyDescent="0.2">
      <c r="B111" s="8" t="str">
        <f>B54</f>
        <v>Maximum density of water</v>
      </c>
      <c r="C111" s="444">
        <f>$K54</f>
        <v>1.064468195618151</v>
      </c>
      <c r="D111" s="446">
        <f>$J54</f>
        <v>-84</v>
      </c>
      <c r="E111" s="589" t="s">
        <v>1860</v>
      </c>
      <c r="F111" s="589"/>
      <c r="G111" s="589"/>
      <c r="H111" s="448" t="str">
        <f>DEC2OCT(ABS(D111))</f>
        <v>124</v>
      </c>
      <c r="I111" s="14"/>
    </row>
    <row r="112" spans="2:9" x14ac:dyDescent="0.2">
      <c r="B112" s="455">
        <f>$C112*D$6*POWER(12,-26)-273.15</f>
        <v>6002.7863253726046</v>
      </c>
      <c r="C112" s="444">
        <v>3</v>
      </c>
      <c r="D112" s="446">
        <v>-26</v>
      </c>
      <c r="E112" s="589" t="s">
        <v>1764</v>
      </c>
      <c r="F112" s="589"/>
      <c r="G112" s="589"/>
      <c r="H112" s="448" t="str">
        <f t="shared" ref="H112:H123" si="146">DEC2OCT(ABS(D112))</f>
        <v>32</v>
      </c>
      <c r="I112" s="14"/>
    </row>
    <row r="113" spans="2:9" x14ac:dyDescent="0.2">
      <c r="B113" s="8" t="str">
        <f>B34</f>
        <v>Rydberg constant</v>
      </c>
      <c r="C113" s="444">
        <f>$K34</f>
        <v>1.0009892049760474</v>
      </c>
      <c r="D113" s="446">
        <f>$J34</f>
        <v>-25</v>
      </c>
      <c r="E113" s="589" t="s">
        <v>1765</v>
      </c>
      <c r="F113" s="589"/>
      <c r="G113" s="589"/>
      <c r="H113" s="448" t="str">
        <f t="shared" si="146"/>
        <v>31</v>
      </c>
      <c r="I113" s="14"/>
    </row>
    <row r="114" spans="2:9" x14ac:dyDescent="0.2">
      <c r="B114" s="8" t="s">
        <v>1203</v>
      </c>
      <c r="C114" s="444">
        <f>$K58</f>
        <v>1.0323524352614808</v>
      </c>
      <c r="D114" s="446">
        <f>$J58</f>
        <v>-25</v>
      </c>
      <c r="E114" s="589" t="s">
        <v>1765</v>
      </c>
      <c r="F114" s="589"/>
      <c r="G114" s="589"/>
      <c r="H114" s="448" t="str">
        <f t="shared" ref="H114" si="147">DEC2OCT(ABS(D114))</f>
        <v>31</v>
      </c>
      <c r="I114" s="14"/>
    </row>
    <row r="115" spans="2:9" x14ac:dyDescent="0.2">
      <c r="B115" s="8" t="str">
        <f>B42</f>
        <v>Electron mass</v>
      </c>
      <c r="C115" s="444">
        <f>$K42</f>
        <v>0.94929757000360881</v>
      </c>
      <c r="D115" s="446">
        <f>$J42</f>
        <v>-20</v>
      </c>
      <c r="E115" s="589" t="s">
        <v>1766</v>
      </c>
      <c r="F115" s="589"/>
      <c r="G115" s="589"/>
      <c r="H115" s="448" t="str">
        <f t="shared" ref="H115" si="148">DEC2OCT(ABS(D115))</f>
        <v>24</v>
      </c>
      <c r="I115" s="14"/>
    </row>
    <row r="116" spans="2:9" x14ac:dyDescent="0.2">
      <c r="B116" s="8" t="str">
        <f>B39</f>
        <v>Unified atomic mass unit</v>
      </c>
      <c r="C116" s="444">
        <f>$K39</f>
        <v>1.0014257004612808</v>
      </c>
      <c r="D116" s="446">
        <f>$J39</f>
        <v>-17</v>
      </c>
      <c r="E116" s="589" t="s">
        <v>1773</v>
      </c>
      <c r="F116" s="589"/>
      <c r="G116" s="589"/>
      <c r="H116" s="448" t="str">
        <f t="shared" si="146"/>
        <v>21</v>
      </c>
      <c r="I116" s="14"/>
    </row>
    <row r="117" spans="2:9" x14ac:dyDescent="0.2">
      <c r="B117" s="21" t="str">
        <f>B32</f>
        <v>Fine Structure Constant</v>
      </c>
      <c r="C117" s="444">
        <f>$K32</f>
        <v>1.0508187692592001</v>
      </c>
      <c r="D117" s="446">
        <f>$J32</f>
        <v>-2</v>
      </c>
      <c r="E117" s="589" t="s">
        <v>1767</v>
      </c>
      <c r="F117" s="589"/>
      <c r="G117" s="589"/>
      <c r="H117" s="448" t="str">
        <f t="shared" ref="H117" si="149">DEC2OCT(ABS(D117))</f>
        <v>2</v>
      </c>
      <c r="I117" s="14"/>
    </row>
    <row r="118" spans="2:9" x14ac:dyDescent="0.2">
      <c r="B118" s="8" t="str">
        <f>B41</f>
        <v>Elementary electric charge</v>
      </c>
      <c r="C118" s="444">
        <f>$K41</f>
        <v>1.0250945173026491</v>
      </c>
      <c r="D118" s="446">
        <f>$J41</f>
        <v>-1</v>
      </c>
      <c r="E118" s="589" t="s">
        <v>1768</v>
      </c>
      <c r="F118" s="589"/>
      <c r="G118" s="589"/>
      <c r="H118" s="448" t="str">
        <f t="shared" si="146"/>
        <v>1</v>
      </c>
      <c r="I118" s="14"/>
    </row>
    <row r="119" spans="2:9" x14ac:dyDescent="0.2">
      <c r="B119" s="8" t="str">
        <f>B47</f>
        <v>Planck length</v>
      </c>
      <c r="C119" s="444">
        <f>$K47</f>
        <v>2.0283702113484399</v>
      </c>
      <c r="D119" s="446">
        <f>$J47</f>
        <v>-1</v>
      </c>
      <c r="E119" s="589" t="s">
        <v>1210</v>
      </c>
      <c r="F119" s="589"/>
      <c r="G119" s="589"/>
      <c r="H119" s="448" t="str">
        <f t="shared" si="146"/>
        <v>1</v>
      </c>
      <c r="I119" s="14"/>
    </row>
    <row r="120" spans="2:9" x14ac:dyDescent="0.2">
      <c r="B120" s="8" t="str">
        <f>B40</f>
        <v>Bohr Radius</v>
      </c>
      <c r="C120" s="444">
        <f>$K40</f>
        <v>1.0024663638126572</v>
      </c>
      <c r="D120" s="446">
        <f>$J40</f>
        <v>22</v>
      </c>
      <c r="E120" s="589" t="s">
        <v>1769</v>
      </c>
      <c r="F120" s="589"/>
      <c r="G120" s="589"/>
      <c r="H120" s="448" t="str">
        <f t="shared" si="146"/>
        <v>26</v>
      </c>
      <c r="I120" s="14"/>
    </row>
    <row r="121" spans="2:9" x14ac:dyDescent="0.2">
      <c r="B121" s="8" t="s">
        <v>1194</v>
      </c>
      <c r="C121" s="445">
        <f>86400/128/($D4*POWER(12,42))</f>
        <v>0.99992685325265718</v>
      </c>
      <c r="D121" s="446">
        <v>42</v>
      </c>
      <c r="E121" s="589" t="s">
        <v>1770</v>
      </c>
      <c r="F121" s="589"/>
      <c r="G121" s="589"/>
      <c r="H121" s="448" t="str">
        <f t="shared" si="146"/>
        <v>52</v>
      </c>
      <c r="I121" s="14"/>
    </row>
    <row r="122" spans="2:9" x14ac:dyDescent="0.2">
      <c r="B122" s="8" t="s">
        <v>1209</v>
      </c>
      <c r="C122" s="445">
        <f>4600000000*365.2422*86400/($D4*POWER(12,D122))</f>
        <v>2.0098367560173354</v>
      </c>
      <c r="D122" s="446">
        <v>55</v>
      </c>
      <c r="E122" s="589" t="s">
        <v>1771</v>
      </c>
      <c r="F122" s="589"/>
      <c r="G122" s="589"/>
      <c r="H122" s="448" t="str">
        <f t="shared" si="146"/>
        <v>67</v>
      </c>
      <c r="I122" s="14"/>
    </row>
    <row r="123" spans="2:9" x14ac:dyDescent="0.2">
      <c r="B123" s="8" t="s">
        <v>1351</v>
      </c>
      <c r="C123" s="445">
        <f>435.4*POWER(10,15)/($D4*POWER(12,D123))</f>
        <v>0.50236044771152588</v>
      </c>
      <c r="D123" s="446">
        <v>56</v>
      </c>
      <c r="E123" s="589" t="s">
        <v>1772</v>
      </c>
      <c r="F123" s="589"/>
      <c r="G123" s="589"/>
      <c r="H123" s="448" t="str">
        <f t="shared" si="146"/>
        <v>70</v>
      </c>
      <c r="I123" s="14"/>
    </row>
    <row r="124" spans="2:9" ht="8.65" customHeight="1" x14ac:dyDescent="0.2">
      <c r="I124" s="14"/>
    </row>
    <row r="125" spans="2:9" s="450" customFormat="1" ht="18" x14ac:dyDescent="0.2">
      <c r="D125" s="451" t="s">
        <v>1195</v>
      </c>
      <c r="E125" s="452"/>
      <c r="F125" s="453" t="s">
        <v>1193</v>
      </c>
      <c r="G125" s="454"/>
    </row>
    <row r="126" spans="2:9" x14ac:dyDescent="0.2">
      <c r="I126" s="14"/>
    </row>
    <row r="127" spans="2:9" x14ac:dyDescent="0.2">
      <c r="I127" s="14"/>
    </row>
    <row r="128" spans="2:9" x14ac:dyDescent="0.2">
      <c r="I128" s="14"/>
    </row>
    <row r="129" spans="9:9" x14ac:dyDescent="0.2">
      <c r="I129" s="14"/>
    </row>
    <row r="130" spans="9:9" x14ac:dyDescent="0.2">
      <c r="I130" s="14"/>
    </row>
    <row r="131" spans="9:9" x14ac:dyDescent="0.2">
      <c r="I131" s="14"/>
    </row>
  </sheetData>
  <mergeCells count="21">
    <mergeCell ref="C110:D110"/>
    <mergeCell ref="A1:A30"/>
    <mergeCell ref="A31:A70"/>
    <mergeCell ref="J31:K31"/>
    <mergeCell ref="A71:A88"/>
    <mergeCell ref="E110:G110"/>
    <mergeCell ref="B101:H101"/>
    <mergeCell ref="B103:H103"/>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1.5" x14ac:dyDescent="0.2"/>
  <cols>
    <col min="1" max="1" width="2.7265625" style="14" customWidth="1"/>
    <col min="2" max="2" width="26.7265625" style="14" customWidth="1"/>
    <col min="3" max="3" width="8.6328125" style="14" customWidth="1"/>
    <col min="4" max="4" width="14.1796875" style="14" customWidth="1"/>
    <col min="5" max="5" width="3.453125" style="14" customWidth="1"/>
    <col min="6" max="6" width="13.81640625" style="14" customWidth="1"/>
    <col min="7" max="7" width="13.6328125" style="14" customWidth="1"/>
    <col min="8" max="8" width="7" style="14" customWidth="1"/>
    <col min="9" max="9" width="2.7265625" style="288" customWidth="1"/>
    <col min="10" max="10" width="3.6328125" style="14" customWidth="1"/>
    <col min="11" max="11" width="9.1796875" style="14" customWidth="1"/>
    <col min="12" max="12" width="15.81640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106</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50">
        <f>86400/128</f>
        <v>675</v>
      </c>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670</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662</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3286831269245092</v>
      </c>
      <c r="E28" s="8">
        <f>-E4</f>
        <v>-14</v>
      </c>
      <c r="F28" s="21">
        <f t="shared" si="0"/>
        <v>2.56</v>
      </c>
      <c r="G28" s="21"/>
      <c r="H28" s="21"/>
      <c r="I28" s="278"/>
      <c r="J28" s="8">
        <v>0</v>
      </c>
      <c r="K28" s="58">
        <f t="shared" si="1"/>
        <v>2.56</v>
      </c>
      <c r="L28" s="118" t="s">
        <v>664</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85"/>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85"/>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85"/>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85"/>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85"/>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85"/>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85"/>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85"/>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85"/>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2"/>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2"/>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2"/>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2"/>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2"/>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2"/>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2"/>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2"/>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2"/>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2"/>
      <c r="B84" s="30" t="s">
        <v>1214</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2"/>
      <c r="B85" s="30" t="s">
        <v>1215</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2"/>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2"/>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3"/>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1519</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721</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1498</v>
      </c>
      <c r="D94" s="193">
        <f>F22*F94</f>
        <v>547805211540848.63</v>
      </c>
      <c r="F94" s="193">
        <f>G94*POWER(12,J94)</f>
        <v>213986410758144</v>
      </c>
      <c r="G94" s="209">
        <v>2</v>
      </c>
      <c r="J94" s="14">
        <v>13</v>
      </c>
      <c r="K94" s="79"/>
      <c r="L94" s="79"/>
      <c r="M94" s="79"/>
    </row>
    <row r="95" spans="1:37" ht="12" thickBot="1" x14ac:dyDescent="0.25">
      <c r="K95" s="79"/>
      <c r="L95" s="79"/>
      <c r="M95" s="79"/>
    </row>
    <row r="96" spans="1:37" ht="12"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5"/>
  <sheetViews>
    <sheetView tabSelected="1" zoomScaleNormal="100" workbookViewId="0">
      <selection activeCell="G4" sqref="G4"/>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670</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597" t="s">
        <v>1521</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662</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3286830300541730.5</v>
      </c>
      <c r="E28" s="8">
        <f>-E4</f>
        <v>-14</v>
      </c>
      <c r="F28" s="21">
        <f t="shared" si="0"/>
        <v>2.5599992455102187</v>
      </c>
      <c r="G28" s="21"/>
      <c r="H28" s="21"/>
      <c r="I28" s="278"/>
      <c r="J28" s="8">
        <v>0</v>
      </c>
      <c r="K28" s="58">
        <f t="shared" si="1"/>
        <v>2.5599992455102187</v>
      </c>
      <c r="L28" s="118" t="s">
        <v>664</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666</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-16</v>
      </c>
      <c r="F30" s="32">
        <f t="shared" si="0"/>
        <v>0.48611773879952869</v>
      </c>
      <c r="G30" s="32"/>
      <c r="H30" s="32"/>
      <c r="I30" s="282"/>
      <c r="J30" s="33">
        <v>0</v>
      </c>
      <c r="K30" s="60">
        <f t="shared" si="1"/>
        <v>0.48611773879952869</v>
      </c>
      <c r="L30" s="124" t="s">
        <v>667</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85"/>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85"/>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85"/>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85"/>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85"/>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85"/>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85"/>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85"/>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85"/>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85"/>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85"/>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85"/>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85"/>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85"/>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85"/>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85"/>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85"/>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85"/>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85"/>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85"/>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85"/>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85"/>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85"/>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85"/>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85"/>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85"/>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85"/>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85"/>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85"/>
      <c r="B68" s="64" t="s">
        <v>1447</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85"/>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85"/>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86"/>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1"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2"/>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2"/>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2"/>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2"/>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2"/>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2"/>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2"/>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2"/>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2"/>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2"/>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2"/>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2"/>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2"/>
      <c r="B85" s="30" t="s">
        <v>1214</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2"/>
      <c r="B86" s="30" t="s">
        <v>1215</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2"/>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2"/>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3"/>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1519</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721</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1498</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1071</v>
      </c>
    </row>
    <row r="98" spans="1:37" x14ac:dyDescent="0.2">
      <c r="B98" s="107" t="s">
        <v>1100</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1101</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1102</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 thickBot="1" x14ac:dyDescent="0.25">
      <c r="B101" s="105" t="s">
        <v>1103</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 thickBot="1" x14ac:dyDescent="0.25">
      <c r="B103" s="14" t="s">
        <v>1274</v>
      </c>
      <c r="K103" s="79"/>
      <c r="L103" s="79"/>
      <c r="M103" s="79"/>
    </row>
    <row r="104" spans="1:37" ht="12" thickBot="1" x14ac:dyDescent="0.25">
      <c r="B104" s="68" t="s">
        <v>1275</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 thickBot="1" x14ac:dyDescent="0.25">
      <c r="B106" s="14" t="s">
        <v>1073</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 thickBot="1" x14ac:dyDescent="0.25">
      <c r="B111" s="14" t="s">
        <v>1367</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 x14ac:dyDescent="0.2">
      <c r="B112" s="245" t="s">
        <v>1366</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 x14ac:dyDescent="0.2">
      <c r="B113" s="91" t="s">
        <v>1368</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1369</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 thickBot="1" x14ac:dyDescent="0.25">
      <c r="B115" s="521" t="s">
        <v>1370</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 thickBot="1" x14ac:dyDescent="0.25">
      <c r="B117" s="14" t="s">
        <v>1072</v>
      </c>
      <c r="C117" s="54" t="s">
        <v>1754</v>
      </c>
      <c r="D117" s="238">
        <f>AM118</f>
        <v>-74.360505124985394</v>
      </c>
      <c r="F117" s="232"/>
      <c r="G117" s="193"/>
      <c r="H117" s="193"/>
    </row>
    <row r="118" spans="2:39" x14ac:dyDescent="0.2">
      <c r="B118" s="98" t="s">
        <v>612</v>
      </c>
      <c r="C118" s="240" t="s">
        <v>592</v>
      </c>
      <c r="D118" s="242">
        <v>-273.14999999999998</v>
      </c>
      <c r="E118" s="99">
        <v>9</v>
      </c>
      <c r="F118" s="225">
        <f t="shared" ref="F118:F140"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0" si="335">IF($E118&gt;=M$31,MID($J$31,IF($E118&gt;M$31,INT(K118),ROUND(K118,0))+1,1),"")</f>
        <v>1</v>
      </c>
      <c r="N118" s="8">
        <f t="shared" ref="N118:N140" si="336">(K118-INT(K118))*12</f>
        <v>1.6825488683128729</v>
      </c>
      <c r="O118" s="96" t="str">
        <f t="shared" ref="O118:O140" si="337">IF($E118&gt;=O$31,MID($J$31,IF($E118&gt;O$31,INT(N118),ROUND(N118,0))+1,1),"")</f>
        <v>1</v>
      </c>
      <c r="P118" s="8">
        <f t="shared" ref="P118:P140" si="338">(N118-INT(N118))*12</f>
        <v>8.1905864197544744</v>
      </c>
      <c r="Q118" s="96" t="str">
        <f t="shared" ref="Q118:Q140" si="339">IF($E118&gt;=Q$31,MID($J$31,IF($E118&gt;Q$31,INT(P118),ROUND(P118,0))+1,1),"")</f>
        <v>8</v>
      </c>
      <c r="R118" s="8">
        <f t="shared" ref="R118:R140" si="340">(P118-INT(P118))*12</f>
        <v>2.2870370370536932</v>
      </c>
      <c r="S118" s="96" t="str">
        <f t="shared" ref="S118:S140" si="341">IF($E118&gt;=S$31,MID($J$31,IF($E118&gt;S$31,INT(R118),ROUND(R118,0))+1,1),"")</f>
        <v>2</v>
      </c>
      <c r="T118" s="8">
        <f t="shared" ref="T118:T140" si="342">(R118-INT(R118))*12</f>
        <v>3.4444444446443185</v>
      </c>
      <c r="U118" s="96" t="str">
        <f t="shared" ref="U118:U140" si="343">IF($E118&gt;=U$31,MID($J$31,IF($E118&gt;U$31,INT(T118),ROUND(T118,0))+1,1),"")</f>
        <v>3</v>
      </c>
      <c r="V118" s="8">
        <f t="shared" ref="V118:V140" si="344">(T118-INT(T118))*12</f>
        <v>5.3333333357318224</v>
      </c>
      <c r="W118" s="96" t="str">
        <f t="shared" ref="W118:W140" si="345">IF($E118&gt;=W$31,MID($J$31,IF($E118&gt;W$31,INT(V118),ROUND(V118,0))+1,1),"")</f>
        <v>5</v>
      </c>
      <c r="X118" s="8">
        <f t="shared" ref="X118:X140" si="346">(V118-INT(V118))*12</f>
        <v>4.0000000287818693</v>
      </c>
      <c r="Y118" s="96" t="str">
        <f t="shared" ref="Y118:Y140" si="347">IF($E118&gt;=Y$31,MID($J$31,IF($E118&gt;Y$31,INT(X118),ROUND(X118,0))+1,1),"")</f>
        <v>4</v>
      </c>
      <c r="Z118" s="8">
        <f t="shared" ref="Z118:Z140" si="348">(X118-INT(X118))*12</f>
        <v>3.4538243198767304E-7</v>
      </c>
      <c r="AA118" s="96" t="str">
        <f t="shared" ref="AA118:AA140" si="349">IF($E118&gt;=AA$31,MID($J$31,IF($E118&gt;AA$31,INT(Z118),ROUND(Z118,0))+1,1),"")</f>
        <v>0</v>
      </c>
      <c r="AB118" s="8">
        <f t="shared" ref="AB118:AB140" si="350">(Z118-INT(Z118))*12</f>
        <v>4.1445891838520765E-6</v>
      </c>
      <c r="AC118" s="96" t="str">
        <f t="shared" ref="AC118:AC140" si="351">IF($E118&gt;=AC$31,MID($J$31,IF($E118&gt;AC$31,INT(AB118),ROUND(AB118,0))+1,1),"")</f>
        <v>0</v>
      </c>
      <c r="AD118" s="8">
        <f t="shared" ref="AD118:AD140" si="352">(AB118-INT(AB118))*12</f>
        <v>4.9735070206224918E-5</v>
      </c>
      <c r="AE118" s="96" t="str">
        <f t="shared" ref="AE118:AE140" si="353">IF($E118&gt;=AE$31,MID($J$31,IF($E118&gt;AE$31,INT(AD118),ROUND(AD118,0))+1,1),"")</f>
        <v>0</v>
      </c>
      <c r="AF118" s="8">
        <f t="shared" ref="AF118:AF140" si="354">(AD118-INT(AD118))*12</f>
        <v>5.9682084247469902E-4</v>
      </c>
      <c r="AG118" s="96" t="str">
        <f t="shared" ref="AG118:AG140" si="355">IF($E118&gt;=AG$31,MID($J$31,IF($E118&gt;AG$31,INT(AF118),ROUND(AF118,0))+1,1),"")</f>
        <v/>
      </c>
      <c r="AH118" s="8">
        <f t="shared" ref="AH118:AH140" si="356">(AF118-INT(AF118))*12</f>
        <v>7.1618501096963882E-3</v>
      </c>
      <c r="AI118" s="96" t="str">
        <f t="shared" ref="AI118:AI140" si="357">IF($E118&gt;=AI$31,MID($J$31,IF($E118&gt;AI$31,INT(AH118),ROUND(AH118,0))+1,1),"")</f>
        <v/>
      </c>
      <c r="AJ118" s="8">
        <f t="shared" ref="AJ118:AJ140" si="358">(AH118-INT(AH118))*12</f>
        <v>8.5942201316356659E-2</v>
      </c>
      <c r="AK118" s="96" t="str">
        <f t="shared" ref="AK118:AK140"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0" si="385">M121&amp;";"&amp;O121&amp;Q121&amp;S121&amp;U121&amp;W121&amp;Y121&amp;AA121&amp;AC121&amp;AE121&amp;AG121&amp;AI121&amp;AK121</f>
        <v>1;3EX822981</v>
      </c>
      <c r="H121" s="37"/>
      <c r="I121" s="285"/>
      <c r="J121" s="38">
        <v>1</v>
      </c>
      <c r="K121" s="128">
        <f t="shared" ref="K121:K140"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x14ac:dyDescent="0.2">
      <c r="B125" s="126" t="s">
        <v>613</v>
      </c>
      <c r="C125" s="9" t="s">
        <v>598</v>
      </c>
      <c r="D125" s="198">
        <v>0</v>
      </c>
      <c r="E125" s="8">
        <v>9</v>
      </c>
      <c r="F125" s="127">
        <f t="shared" si="334"/>
        <v>61.41821000459197</v>
      </c>
      <c r="G125" s="37" t="str">
        <f t="shared" si="385"/>
        <v>5;150280047</v>
      </c>
      <c r="H125" s="37"/>
      <c r="I125" s="285"/>
      <c r="J125" s="38">
        <v>1</v>
      </c>
      <c r="K125" s="128">
        <f t="shared" si="386"/>
        <v>5.1181841670493409</v>
      </c>
      <c r="L125" s="39" t="str">
        <f>INDEX(powers!$H$2:$H$75,33+J125)</f>
        <v>dozen</v>
      </c>
      <c r="M125" s="97" t="str">
        <f t="shared" si="335"/>
        <v>5</v>
      </c>
      <c r="N125" s="8">
        <f t="shared" si="336"/>
        <v>1.4182100045920905</v>
      </c>
      <c r="O125" s="96" t="str">
        <f t="shared" si="337"/>
        <v>1</v>
      </c>
      <c r="P125" s="8">
        <f t="shared" si="338"/>
        <v>5.0185200551050855</v>
      </c>
      <c r="Q125" s="96" t="str">
        <f t="shared" si="339"/>
        <v>5</v>
      </c>
      <c r="R125" s="8">
        <f t="shared" si="340"/>
        <v>0.22224066126102571</v>
      </c>
      <c r="S125" s="96" t="str">
        <f t="shared" si="341"/>
        <v>0</v>
      </c>
      <c r="T125" s="8">
        <f t="shared" si="342"/>
        <v>2.6668879351323085</v>
      </c>
      <c r="U125" s="96" t="str">
        <f t="shared" si="343"/>
        <v>2</v>
      </c>
      <c r="V125" s="8">
        <f t="shared" si="344"/>
        <v>8.0026552215877018</v>
      </c>
      <c r="W125" s="96" t="str">
        <f t="shared" si="345"/>
        <v>8</v>
      </c>
      <c r="X125" s="8">
        <f t="shared" si="346"/>
        <v>3.1862659052421805E-2</v>
      </c>
      <c r="Y125" s="96" t="str">
        <f t="shared" si="347"/>
        <v>0</v>
      </c>
      <c r="Z125" s="8">
        <f t="shared" si="348"/>
        <v>0.38235190862906165</v>
      </c>
      <c r="AA125" s="96" t="str">
        <f t="shared" si="349"/>
        <v>0</v>
      </c>
      <c r="AB125" s="8">
        <f t="shared" si="350"/>
        <v>4.5882229035487399</v>
      </c>
      <c r="AC125" s="96" t="str">
        <f t="shared" si="351"/>
        <v>4</v>
      </c>
      <c r="AD125" s="8">
        <f t="shared" si="352"/>
        <v>7.0586748425848782</v>
      </c>
      <c r="AE125" s="96" t="str">
        <f t="shared" si="353"/>
        <v>7</v>
      </c>
      <c r="AF125" s="8">
        <f t="shared" si="354"/>
        <v>0.70409811101853848</v>
      </c>
      <c r="AG125" s="96" t="str">
        <f t="shared" si="355"/>
        <v/>
      </c>
      <c r="AH125" s="8">
        <f t="shared" si="356"/>
        <v>8.4491773322224617</v>
      </c>
      <c r="AI125" s="96" t="str">
        <f t="shared" si="357"/>
        <v/>
      </c>
      <c r="AJ125" s="8">
        <f t="shared" si="358"/>
        <v>5.3901279866695404</v>
      </c>
      <c r="AK125" s="96" t="str">
        <f t="shared" si="359"/>
        <v/>
      </c>
      <c r="AL125" s="238">
        <f>5*12+1+5/12</f>
        <v>61.416666666666664</v>
      </c>
      <c r="AM125" s="238">
        <f t="shared" ref="AM125:AM127" si="387">-AL125*F$6*20736+D125</f>
        <v>-74.358636568612695</v>
      </c>
    </row>
    <row r="126" spans="2:39" x14ac:dyDescent="0.2">
      <c r="B126" s="126" t="s">
        <v>622</v>
      </c>
      <c r="C126" s="9" t="s">
        <v>623</v>
      </c>
      <c r="D126" s="198">
        <v>8.8999999999999995E-5</v>
      </c>
      <c r="E126" s="8">
        <v>9</v>
      </c>
      <c r="F126" s="127">
        <f t="shared" si="334"/>
        <v>61.418283514322454</v>
      </c>
      <c r="G126" s="37" t="str">
        <f t="shared" ref="G126" si="388">M126&amp;";"&amp;O126&amp;Q126&amp;S126&amp;U126&amp;W126&amp;Y126&amp;AA126&amp;AC126&amp;AE126&amp;AG126&amp;AI126&amp;AK126</f>
        <v>5;1502963X7</v>
      </c>
      <c r="H126" s="37"/>
      <c r="I126" s="285"/>
      <c r="J126" s="38">
        <v>1</v>
      </c>
      <c r="K126" s="128">
        <f t="shared" ref="K126" si="389">F126/POWER(12,J126)+0.00000000000001</f>
        <v>5.1181902928602145</v>
      </c>
      <c r="L126" s="39" t="str">
        <f>INDEX(powers!$H$2:$H$75,33+J126)</f>
        <v>dozen</v>
      </c>
      <c r="M126" s="97" t="str">
        <f t="shared" ref="M126" si="390">IF($E126&gt;=M$31,MID($J$31,IF($E126&gt;M$31,INT(K126),ROUND(K126,0))+1,1),"")</f>
        <v>5</v>
      </c>
      <c r="N126" s="8">
        <f t="shared" ref="N126" si="391">(K126-INT(K126))*12</f>
        <v>1.4182835143225745</v>
      </c>
      <c r="O126" s="96" t="str">
        <f t="shared" ref="O126" si="392">IF($E126&gt;=O$31,MID($J$31,IF($E126&gt;O$31,INT(N126),ROUND(N126,0))+1,1),"")</f>
        <v>1</v>
      </c>
      <c r="P126" s="8">
        <f t="shared" ref="P126" si="393">(N126-INT(N126))*12</f>
        <v>5.0194021718708939</v>
      </c>
      <c r="Q126" s="96" t="str">
        <f t="shared" ref="Q126" si="394">IF($E126&gt;=Q$31,MID($J$31,IF($E126&gt;Q$31,INT(P126),ROUND(P126,0))+1,1),"")</f>
        <v>5</v>
      </c>
      <c r="R126" s="8">
        <f t="shared" ref="R126" si="395">(P126-INT(P126))*12</f>
        <v>0.23282606245072657</v>
      </c>
      <c r="S126" s="96" t="str">
        <f t="shared" ref="S126" si="396">IF($E126&gt;=S$31,MID($J$31,IF($E126&gt;S$31,INT(R126),ROUND(R126,0))+1,1),"")</f>
        <v>0</v>
      </c>
      <c r="T126" s="8">
        <f t="shared" ref="T126" si="397">(R126-INT(R126))*12</f>
        <v>2.7939127494087188</v>
      </c>
      <c r="U126" s="96" t="str">
        <f t="shared" ref="U126" si="398">IF($E126&gt;=U$31,MID($J$31,IF($E126&gt;U$31,INT(T126),ROUND(T126,0))+1,1),"")</f>
        <v>2</v>
      </c>
      <c r="V126" s="8">
        <f t="shared" ref="V126" si="399">(T126-INT(T126))*12</f>
        <v>9.5269529929046257</v>
      </c>
      <c r="W126" s="96" t="str">
        <f t="shared" ref="W126" si="400">IF($E126&gt;=W$31,MID($J$31,IF($E126&gt;W$31,INT(V126),ROUND(V126,0))+1,1),"")</f>
        <v>9</v>
      </c>
      <c r="X126" s="8">
        <f t="shared" ref="X126" si="401">(V126-INT(V126))*12</f>
        <v>6.3234359148555086</v>
      </c>
      <c r="Y126" s="96" t="str">
        <f t="shared" ref="Y126" si="402">IF($E126&gt;=Y$31,MID($J$31,IF($E126&gt;Y$31,INT(X126),ROUND(X126,0))+1,1),"")</f>
        <v>6</v>
      </c>
      <c r="Z126" s="8">
        <f t="shared" ref="Z126" si="403">(X126-INT(X126))*12</f>
        <v>3.8812309782661032</v>
      </c>
      <c r="AA126" s="96" t="str">
        <f t="shared" ref="AA126" si="404">IF($E126&gt;=AA$31,MID($J$31,IF($E126&gt;AA$31,INT(Z126),ROUND(Z126,0))+1,1),"")</f>
        <v>3</v>
      </c>
      <c r="AB126" s="8">
        <f t="shared" ref="AB126" si="405">(Z126-INT(Z126))*12</f>
        <v>10.574771739193238</v>
      </c>
      <c r="AC126" s="96" t="str">
        <f t="shared" ref="AC126" si="406">IF($E126&gt;=AC$31,MID($J$31,IF($E126&gt;AC$31,INT(AB126),ROUND(AB126,0))+1,1),"")</f>
        <v>X</v>
      </c>
      <c r="AD126" s="8">
        <f t="shared" ref="AD126" si="407">(AB126-INT(AB126))*12</f>
        <v>6.8972608703188598</v>
      </c>
      <c r="AE126" s="96" t="str">
        <f t="shared" ref="AE126" si="408">IF($E126&gt;=AE$31,MID($J$31,IF($E126&gt;AE$31,INT(AD126),ROUND(AD126,0))+1,1),"")</f>
        <v>7</v>
      </c>
      <c r="AF126" s="8">
        <f t="shared" ref="AF126" si="409">(AD126-INT(AD126))*12</f>
        <v>10.767130443826318</v>
      </c>
      <c r="AG126" s="96" t="str">
        <f t="shared" ref="AG126" si="410">IF($E126&gt;=AG$31,MID($J$31,IF($E126&gt;AG$31,INT(AF126),ROUND(AF126,0))+1,1),"")</f>
        <v/>
      </c>
      <c r="AH126" s="8">
        <f t="shared" ref="AH126" si="411">(AF126-INT(AF126))*12</f>
        <v>9.2055653259158134</v>
      </c>
      <c r="AI126" s="96" t="str">
        <f t="shared" ref="AI126" si="412">IF($E126&gt;=AI$31,MID($J$31,IF($E126&gt;AI$31,INT(AH126),ROUND(AH126,0))+1,1),"")</f>
        <v/>
      </c>
      <c r="AJ126" s="8">
        <f t="shared" ref="AJ126" si="413">(AH126-INT(AH126))*12</f>
        <v>2.4667839109897614</v>
      </c>
      <c r="AK126" s="96" t="str">
        <f t="shared" ref="AK126" si="414">IF($E126&gt;=AK$31,MID($J$31,IF($E126&gt;AK$31,INT(AJ126),ROUND(AJ126,0))+1,1),"")</f>
        <v/>
      </c>
      <c r="AL126" s="238">
        <f>5*12+1+5/12</f>
        <v>61.416666666666664</v>
      </c>
      <c r="AM126" s="238">
        <f t="shared" ref="AM126" si="415">-AL126*F$6*20736+D126</f>
        <v>-74.358547568612693</v>
      </c>
    </row>
    <row r="127" spans="2:39" x14ac:dyDescent="0.2">
      <c r="B127" s="126" t="s">
        <v>614</v>
      </c>
      <c r="C127" s="9" t="s">
        <v>608</v>
      </c>
      <c r="D127" s="198">
        <v>0.01</v>
      </c>
      <c r="E127" s="8">
        <v>9</v>
      </c>
      <c r="F127" s="127">
        <f t="shared" si="334"/>
        <v>61.426469524871095</v>
      </c>
      <c r="G127" s="37" t="str">
        <f t="shared" si="385"/>
        <v>5;1514E3322</v>
      </c>
      <c r="H127" s="37"/>
      <c r="I127" s="285"/>
      <c r="J127" s="38">
        <v>1</v>
      </c>
      <c r="K127" s="128">
        <f t="shared" si="386"/>
        <v>5.1188724604059344</v>
      </c>
      <c r="L127" s="39" t="str">
        <f>INDEX(powers!$H$2:$H$75,33+J127)</f>
        <v>dozen</v>
      </c>
      <c r="M127" s="97" t="str">
        <f t="shared" si="335"/>
        <v>5</v>
      </c>
      <c r="N127" s="8">
        <f t="shared" si="336"/>
        <v>1.4264695248712123</v>
      </c>
      <c r="O127" s="96" t="str">
        <f t="shared" si="337"/>
        <v>1</v>
      </c>
      <c r="P127" s="8">
        <f t="shared" si="338"/>
        <v>5.1176342984545471</v>
      </c>
      <c r="Q127" s="96" t="str">
        <f t="shared" si="339"/>
        <v>5</v>
      </c>
      <c r="R127" s="8">
        <f t="shared" si="340"/>
        <v>1.4116115814545651</v>
      </c>
      <c r="S127" s="96" t="str">
        <f t="shared" si="341"/>
        <v>1</v>
      </c>
      <c r="T127" s="8">
        <f t="shared" si="342"/>
        <v>4.9393389774547813</v>
      </c>
      <c r="U127" s="96" t="str">
        <f t="shared" si="343"/>
        <v>4</v>
      </c>
      <c r="V127" s="8">
        <f t="shared" si="344"/>
        <v>11.272067729457376</v>
      </c>
      <c r="W127" s="96" t="str">
        <f t="shared" si="345"/>
        <v>E</v>
      </c>
      <c r="X127" s="8">
        <f t="shared" si="346"/>
        <v>3.2648127534885134</v>
      </c>
      <c r="Y127" s="96" t="str">
        <f t="shared" si="347"/>
        <v>3</v>
      </c>
      <c r="Z127" s="8">
        <f t="shared" si="348"/>
        <v>3.1777530418621609</v>
      </c>
      <c r="AA127" s="96" t="str">
        <f t="shared" si="349"/>
        <v>3</v>
      </c>
      <c r="AB127" s="8">
        <f t="shared" si="350"/>
        <v>2.1330365023459308</v>
      </c>
      <c r="AC127" s="96" t="str">
        <f t="shared" si="351"/>
        <v>2</v>
      </c>
      <c r="AD127" s="8">
        <f t="shared" si="352"/>
        <v>1.5964380281511694</v>
      </c>
      <c r="AE127" s="96" t="str">
        <f t="shared" si="353"/>
        <v>2</v>
      </c>
      <c r="AF127" s="8">
        <f t="shared" si="354"/>
        <v>7.157256337814033</v>
      </c>
      <c r="AG127" s="96" t="str">
        <f t="shared" si="355"/>
        <v/>
      </c>
      <c r="AH127" s="8">
        <f t="shared" si="356"/>
        <v>1.8870760537683964</v>
      </c>
      <c r="AI127" s="96" t="str">
        <f t="shared" si="357"/>
        <v/>
      </c>
      <c r="AJ127" s="8">
        <f t="shared" si="358"/>
        <v>10.644912645220757</v>
      </c>
      <c r="AK127" s="96" t="str">
        <f t="shared" si="359"/>
        <v/>
      </c>
      <c r="AL127" s="238">
        <f>5*12+1+5/12</f>
        <v>61.416666666666664</v>
      </c>
      <c r="AM127" s="238">
        <f t="shared" si="387"/>
        <v>-74.34863656861269</v>
      </c>
    </row>
    <row r="128" spans="2:39" x14ac:dyDescent="0.2">
      <c r="B128" s="126" t="s">
        <v>616</v>
      </c>
      <c r="C128" s="9" t="s">
        <v>599</v>
      </c>
      <c r="D128" s="198">
        <v>3.98</v>
      </c>
      <c r="E128" s="8">
        <v>9</v>
      </c>
      <c r="F128" s="127">
        <f t="shared" si="334"/>
        <v>64.705499075684386</v>
      </c>
      <c r="G128" s="37" t="str">
        <f t="shared" ref="G128:G129" si="416">M128&amp;";"&amp;O128&amp;Q128&amp;S128&amp;U128&amp;W128&amp;Y128&amp;AA128&amp;AC128&amp;AE128&amp;AG128&amp;AI128&amp;AK128</f>
        <v>5;4857128E5</v>
      </c>
      <c r="H128" s="37"/>
      <c r="I128" s="285"/>
      <c r="J128" s="38">
        <v>1</v>
      </c>
      <c r="K128" s="128">
        <f t="shared" ref="K128:K129" si="417">F128/POWER(12,J128)+0.00000000000001</f>
        <v>5.3921249229737089</v>
      </c>
      <c r="L128" s="39" t="str">
        <f>INDEX(powers!$H$2:$H$75,33+J128)</f>
        <v>dozen</v>
      </c>
      <c r="M128" s="97" t="str">
        <f t="shared" ref="M128:M129" si="418">IF($E128&gt;=M$31,MID($J$31,IF($E128&gt;M$31,INT(K128),ROUND(K128,0))+1,1),"")</f>
        <v>5</v>
      </c>
      <c r="N128" s="8">
        <f t="shared" ref="N128:N129" si="419">(K128-INT(K128))*12</f>
        <v>4.7054990756845072</v>
      </c>
      <c r="O128" s="96" t="str">
        <f t="shared" ref="O128:O129" si="420">IF($E128&gt;=O$31,MID($J$31,IF($E128&gt;O$31,INT(N128),ROUND(N128,0))+1,1),"")</f>
        <v>4</v>
      </c>
      <c r="P128" s="8">
        <f t="shared" ref="P128:P129" si="421">(N128-INT(N128))*12</f>
        <v>8.4659889082140865</v>
      </c>
      <c r="Q128" s="96" t="str">
        <f t="shared" ref="Q128:Q129" si="422">IF($E128&gt;=Q$31,MID($J$31,IF($E128&gt;Q$31,INT(P128),ROUND(P128,0))+1,1),"")</f>
        <v>8</v>
      </c>
      <c r="R128" s="8">
        <f t="shared" ref="R128:R129" si="423">(P128-INT(P128))*12</f>
        <v>5.5918668985690374</v>
      </c>
      <c r="S128" s="96" t="str">
        <f t="shared" ref="S128:S129" si="424">IF($E128&gt;=S$31,MID($J$31,IF($E128&gt;S$31,INT(R128),ROUND(R128,0))+1,1),"")</f>
        <v>5</v>
      </c>
      <c r="T128" s="8">
        <f t="shared" ref="T128:T129" si="425">(R128-INT(R128))*12</f>
        <v>7.1024027828284488</v>
      </c>
      <c r="U128" s="96" t="str">
        <f t="shared" ref="U128:U129" si="426">IF($E128&gt;=U$31,MID($J$31,IF($E128&gt;U$31,INT(T128),ROUND(T128,0))+1,1),"")</f>
        <v>7</v>
      </c>
      <c r="V128" s="8">
        <f t="shared" ref="V128:V129" si="427">(T128-INT(T128))*12</f>
        <v>1.228833393941386</v>
      </c>
      <c r="W128" s="96" t="str">
        <f t="shared" ref="W128:W129" si="428">IF($E128&gt;=W$31,MID($J$31,IF($E128&gt;W$31,INT(V128),ROUND(V128,0))+1,1),"")</f>
        <v>1</v>
      </c>
      <c r="X128" s="8">
        <f t="shared" ref="X128:X129" si="429">(V128-INT(V128))*12</f>
        <v>2.7460007272966322</v>
      </c>
      <c r="Y128" s="96" t="str">
        <f t="shared" ref="Y128:Y129" si="430">IF($E128&gt;=Y$31,MID($J$31,IF($E128&gt;Y$31,INT(X128),ROUND(X128,0))+1,1),"")</f>
        <v>2</v>
      </c>
      <c r="Z128" s="8">
        <f t="shared" ref="Z128:Z129" si="431">(X128-INT(X128))*12</f>
        <v>8.952008727559587</v>
      </c>
      <c r="AA128" s="96" t="str">
        <f t="shared" ref="AA128:AA129" si="432">IF($E128&gt;=AA$31,MID($J$31,IF($E128&gt;AA$31,INT(Z128),ROUND(Z128,0))+1,1),"")</f>
        <v>8</v>
      </c>
      <c r="AB128" s="8">
        <f t="shared" ref="AB128:AB129" si="433">(Z128-INT(Z128))*12</f>
        <v>11.424104730715044</v>
      </c>
      <c r="AC128" s="96" t="str">
        <f t="shared" ref="AC128:AC129" si="434">IF($E128&gt;=AC$31,MID($J$31,IF($E128&gt;AC$31,INT(AB128),ROUND(AB128,0))+1,1),"")</f>
        <v>E</v>
      </c>
      <c r="AD128" s="8">
        <f t="shared" ref="AD128:AD129" si="435">(AB128-INT(AB128))*12</f>
        <v>5.0892567685805261</v>
      </c>
      <c r="AE128" s="96" t="str">
        <f t="shared" ref="AE128:AE129" si="436">IF($E128&gt;=AE$31,MID($J$31,IF($E128&gt;AE$31,INT(AD128),ROUND(AD128,0))+1,1),"")</f>
        <v>5</v>
      </c>
      <c r="AF128" s="8">
        <f t="shared" ref="AF128:AF129" si="437">(AD128-INT(AD128))*12</f>
        <v>1.0710812229663134</v>
      </c>
      <c r="AG128" s="96" t="str">
        <f t="shared" ref="AG128:AG129" si="438">IF($E128&gt;=AG$31,MID($J$31,IF($E128&gt;AG$31,INT(AF128),ROUND(AF128,0))+1,1),"")</f>
        <v/>
      </c>
      <c r="AH128" s="8">
        <f t="shared" ref="AH128:AH129" si="439">(AF128-INT(AF128))*12</f>
        <v>0.85297467559576035</v>
      </c>
      <c r="AI128" s="96" t="str">
        <f t="shared" ref="AI128:AI129" si="440">IF($E128&gt;=AI$31,MID($J$31,IF($E128&gt;AI$31,INT(AH128),ROUND(AH128,0))+1,1),"")</f>
        <v/>
      </c>
      <c r="AJ128" s="8">
        <f t="shared" ref="AJ128:AJ129" si="441">(AH128-INT(AH128))*12</f>
        <v>10.235696107149124</v>
      </c>
      <c r="AK128" s="96" t="str">
        <f t="shared" ref="AK128:AK129" si="442">IF($E128&gt;=AK$31,MID($J$31,IF($E128&gt;AK$31,INT(AJ128),ROUND(AJ128,0))+1,1),"")</f>
        <v/>
      </c>
    </row>
    <row r="129" spans="2:39" x14ac:dyDescent="0.2">
      <c r="B129" s="126"/>
      <c r="C129" s="9" t="s">
        <v>600</v>
      </c>
      <c r="D129" s="198">
        <v>14</v>
      </c>
      <c r="E129" s="8">
        <v>9</v>
      </c>
      <c r="F129" s="127">
        <f t="shared" si="334"/>
        <v>72.981538395369299</v>
      </c>
      <c r="G129" s="37" t="str">
        <f t="shared" si="416"/>
        <v>6;0E94121E4</v>
      </c>
      <c r="H129" s="37"/>
      <c r="I129" s="285"/>
      <c r="J129" s="38">
        <v>1</v>
      </c>
      <c r="K129" s="128">
        <f t="shared" si="417"/>
        <v>6.0817948662807844</v>
      </c>
      <c r="L129" s="39" t="str">
        <f>INDEX(powers!$H$2:$H$75,33+J129)</f>
        <v>dozen</v>
      </c>
      <c r="M129" s="97" t="str">
        <f t="shared" si="418"/>
        <v>6</v>
      </c>
      <c r="N129" s="8">
        <f t="shared" si="419"/>
        <v>0.98153839536941234</v>
      </c>
      <c r="O129" s="96" t="str">
        <f t="shared" si="420"/>
        <v>0</v>
      </c>
      <c r="P129" s="8">
        <f t="shared" si="421"/>
        <v>11.778460744432948</v>
      </c>
      <c r="Q129" s="96" t="str">
        <f t="shared" si="422"/>
        <v>E</v>
      </c>
      <c r="R129" s="8">
        <f t="shared" si="423"/>
        <v>9.3415289331953772</v>
      </c>
      <c r="S129" s="96" t="str">
        <f t="shared" si="424"/>
        <v>9</v>
      </c>
      <c r="T129" s="8">
        <f t="shared" si="425"/>
        <v>4.098347198344527</v>
      </c>
      <c r="U129" s="96" t="str">
        <f t="shared" si="426"/>
        <v>4</v>
      </c>
      <c r="V129" s="8">
        <f t="shared" si="427"/>
        <v>1.1801663801343238</v>
      </c>
      <c r="W129" s="96" t="str">
        <f t="shared" si="428"/>
        <v>1</v>
      </c>
      <c r="X129" s="8">
        <f t="shared" si="429"/>
        <v>2.1619965616118861</v>
      </c>
      <c r="Y129" s="96" t="str">
        <f t="shared" si="430"/>
        <v>2</v>
      </c>
      <c r="Z129" s="8">
        <f t="shared" si="431"/>
        <v>1.9439587393426336</v>
      </c>
      <c r="AA129" s="96" t="str">
        <f t="shared" si="432"/>
        <v>1</v>
      </c>
      <c r="AB129" s="8">
        <f t="shared" si="433"/>
        <v>11.327504872111604</v>
      </c>
      <c r="AC129" s="96" t="str">
        <f t="shared" si="434"/>
        <v>E</v>
      </c>
      <c r="AD129" s="8">
        <f t="shared" si="435"/>
        <v>3.9300584653392434</v>
      </c>
      <c r="AE129" s="96" t="str">
        <f t="shared" si="436"/>
        <v>4</v>
      </c>
      <c r="AF129" s="8">
        <f t="shared" si="437"/>
        <v>11.160701584070921</v>
      </c>
      <c r="AG129" s="96" t="str">
        <f t="shared" si="438"/>
        <v/>
      </c>
      <c r="AH129" s="8">
        <f t="shared" si="439"/>
        <v>1.9284190088510513</v>
      </c>
      <c r="AI129" s="96" t="str">
        <f t="shared" si="440"/>
        <v/>
      </c>
      <c r="AJ129" s="8">
        <f t="shared" si="441"/>
        <v>11.141028106212616</v>
      </c>
      <c r="AK129" s="96" t="str">
        <f t="shared" si="442"/>
        <v/>
      </c>
    </row>
    <row r="130" spans="2:39" x14ac:dyDescent="0.2">
      <c r="B130" s="126"/>
      <c r="C130" s="9" t="s">
        <v>620</v>
      </c>
      <c r="D130" s="198">
        <v>15</v>
      </c>
      <c r="E130" s="8">
        <v>9</v>
      </c>
      <c r="F130" s="127">
        <f t="shared" si="334"/>
        <v>73.807490423281976</v>
      </c>
      <c r="G130" s="37" t="str">
        <f t="shared" si="385"/>
        <v>6;19834155X</v>
      </c>
      <c r="H130" s="37"/>
      <c r="I130" s="285"/>
      <c r="J130" s="38">
        <v>1</v>
      </c>
      <c r="K130" s="128">
        <f t="shared" si="386"/>
        <v>6.1506242019401745</v>
      </c>
      <c r="L130" s="39" t="str">
        <f>INDEX(powers!$H$2:$H$75,33+J130)</f>
        <v>dozen</v>
      </c>
      <c r="M130" s="97" t="str">
        <f t="shared" si="335"/>
        <v>6</v>
      </c>
      <c r="N130" s="8">
        <f t="shared" si="336"/>
        <v>1.8074904232820934</v>
      </c>
      <c r="O130" s="96" t="str">
        <f t="shared" si="337"/>
        <v>1</v>
      </c>
      <c r="P130" s="8">
        <f t="shared" si="338"/>
        <v>9.689885079385121</v>
      </c>
      <c r="Q130" s="96" t="str">
        <f t="shared" si="339"/>
        <v>9</v>
      </c>
      <c r="R130" s="8">
        <f t="shared" si="340"/>
        <v>8.278620952621452</v>
      </c>
      <c r="S130" s="96" t="str">
        <f t="shared" si="341"/>
        <v>8</v>
      </c>
      <c r="T130" s="8">
        <f t="shared" si="342"/>
        <v>3.3434514314574244</v>
      </c>
      <c r="U130" s="96" t="str">
        <f t="shared" si="343"/>
        <v>3</v>
      </c>
      <c r="V130" s="8">
        <f t="shared" si="344"/>
        <v>4.1214171774890929</v>
      </c>
      <c r="W130" s="96" t="str">
        <f t="shared" si="345"/>
        <v>4</v>
      </c>
      <c r="X130" s="8">
        <f t="shared" si="346"/>
        <v>1.4570061298691144</v>
      </c>
      <c r="Y130" s="96" t="str">
        <f t="shared" si="347"/>
        <v>1</v>
      </c>
      <c r="Z130" s="8">
        <f t="shared" si="348"/>
        <v>5.4840735584293725</v>
      </c>
      <c r="AA130" s="96" t="str">
        <f t="shared" si="349"/>
        <v>5</v>
      </c>
      <c r="AB130" s="8">
        <f t="shared" si="350"/>
        <v>5.80888270115247</v>
      </c>
      <c r="AC130" s="96" t="str">
        <f t="shared" si="351"/>
        <v>5</v>
      </c>
      <c r="AD130" s="8">
        <f t="shared" si="352"/>
        <v>9.7065924138296396</v>
      </c>
      <c r="AE130" s="96" t="str">
        <f t="shared" si="353"/>
        <v>X</v>
      </c>
      <c r="AF130" s="8">
        <f t="shared" si="354"/>
        <v>8.4791089659556746</v>
      </c>
      <c r="AG130" s="96" t="str">
        <f t="shared" si="355"/>
        <v/>
      </c>
      <c r="AH130" s="8">
        <f t="shared" si="356"/>
        <v>5.7493075914680958</v>
      </c>
      <c r="AI130" s="96" t="str">
        <f t="shared" si="357"/>
        <v/>
      </c>
      <c r="AJ130" s="8">
        <f t="shared" si="358"/>
        <v>8.9916910976171494</v>
      </c>
      <c r="AK130" s="96" t="str">
        <f t="shared" si="359"/>
        <v/>
      </c>
      <c r="AL130" s="238">
        <f>6*12+1+9/12+8/144+3/1728</f>
        <v>73.807291666666671</v>
      </c>
      <c r="AM130" s="238">
        <f t="shared" ref="AM130" si="443">-AL130*F$6*20736+D130</f>
        <v>-74.360264485567384</v>
      </c>
    </row>
    <row r="131" spans="2:39" x14ac:dyDescent="0.2">
      <c r="B131" s="126"/>
      <c r="C131" s="9" t="s">
        <v>601</v>
      </c>
      <c r="D131" s="198">
        <v>20</v>
      </c>
      <c r="E131" s="8">
        <v>9</v>
      </c>
      <c r="F131" s="127">
        <f t="shared" si="334"/>
        <v>77.937250562845307</v>
      </c>
      <c r="G131" s="37" t="str">
        <f t="shared" si="385"/>
        <v>6;5E2E69E23</v>
      </c>
      <c r="H131" s="37"/>
      <c r="I131" s="285"/>
      <c r="J131" s="38">
        <v>1</v>
      </c>
      <c r="K131" s="128">
        <f t="shared" si="386"/>
        <v>6.4947708802371187</v>
      </c>
      <c r="L131" s="39" t="str">
        <f>INDEX(powers!$H$2:$H$75,33+J131)</f>
        <v>dozen</v>
      </c>
      <c r="M131" s="97" t="str">
        <f t="shared" si="335"/>
        <v>6</v>
      </c>
      <c r="N131" s="8">
        <f t="shared" si="336"/>
        <v>5.9372505628454242</v>
      </c>
      <c r="O131" s="96" t="str">
        <f t="shared" si="337"/>
        <v>5</v>
      </c>
      <c r="P131" s="8">
        <f t="shared" si="338"/>
        <v>11.24700675414509</v>
      </c>
      <c r="Q131" s="96" t="str">
        <f t="shared" si="339"/>
        <v>E</v>
      </c>
      <c r="R131" s="8">
        <f t="shared" si="340"/>
        <v>2.9640810497410826</v>
      </c>
      <c r="S131" s="96" t="str">
        <f t="shared" si="341"/>
        <v>2</v>
      </c>
      <c r="T131" s="8">
        <f t="shared" si="342"/>
        <v>11.568972596892991</v>
      </c>
      <c r="U131" s="96" t="str">
        <f t="shared" si="343"/>
        <v>E</v>
      </c>
      <c r="V131" s="8">
        <f t="shared" si="344"/>
        <v>6.8276711627158875</v>
      </c>
      <c r="W131" s="96" t="str">
        <f t="shared" si="345"/>
        <v>6</v>
      </c>
      <c r="X131" s="8">
        <f t="shared" si="346"/>
        <v>9.9320539525906497</v>
      </c>
      <c r="Y131" s="96" t="str">
        <f t="shared" si="347"/>
        <v>9</v>
      </c>
      <c r="Z131" s="8">
        <f t="shared" si="348"/>
        <v>11.184647431087797</v>
      </c>
      <c r="AA131" s="96" t="str">
        <f t="shared" si="349"/>
        <v>E</v>
      </c>
      <c r="AB131" s="8">
        <f t="shared" si="350"/>
        <v>2.2157691730535589</v>
      </c>
      <c r="AC131" s="96" t="str">
        <f t="shared" si="351"/>
        <v>2</v>
      </c>
      <c r="AD131" s="8">
        <f t="shared" si="352"/>
        <v>2.589230076642707</v>
      </c>
      <c r="AE131" s="96" t="str">
        <f t="shared" si="353"/>
        <v>3</v>
      </c>
      <c r="AF131" s="8">
        <f t="shared" si="354"/>
        <v>7.0707609197124839</v>
      </c>
      <c r="AG131" s="96" t="str">
        <f t="shared" si="355"/>
        <v/>
      </c>
      <c r="AH131" s="8">
        <f t="shared" si="356"/>
        <v>0.84913103654980659</v>
      </c>
      <c r="AI131" s="96" t="str">
        <f t="shared" si="357"/>
        <v/>
      </c>
      <c r="AJ131" s="8">
        <f t="shared" si="358"/>
        <v>10.189572438597679</v>
      </c>
      <c r="AK131" s="96" t="str">
        <f t="shared" si="359"/>
        <v/>
      </c>
    </row>
    <row r="132" spans="2:39" x14ac:dyDescent="0.2">
      <c r="B132" s="126"/>
      <c r="C132" s="9" t="s">
        <v>621</v>
      </c>
      <c r="D132" s="198">
        <v>25.5</v>
      </c>
      <c r="E132" s="8">
        <v>9</v>
      </c>
      <c r="F132" s="127">
        <f t="shared" si="334"/>
        <v>82.479986716364976</v>
      </c>
      <c r="G132" s="37" t="str">
        <f t="shared" si="385"/>
        <v>6;X5915007X</v>
      </c>
      <c r="H132" s="37"/>
      <c r="I132" s="285"/>
      <c r="J132" s="38">
        <v>1</v>
      </c>
      <c r="K132" s="128">
        <f t="shared" si="386"/>
        <v>6.8733322263637575</v>
      </c>
      <c r="L132" s="39" t="str">
        <f>INDEX(powers!$H$2:$H$75,33+J132)</f>
        <v>dozen</v>
      </c>
      <c r="M132" s="97" t="str">
        <f t="shared" si="335"/>
        <v>6</v>
      </c>
      <c r="N132" s="8">
        <f t="shared" si="336"/>
        <v>10.47998671636509</v>
      </c>
      <c r="O132" s="96" t="str">
        <f t="shared" si="337"/>
        <v>X</v>
      </c>
      <c r="P132" s="8">
        <f t="shared" si="338"/>
        <v>5.7598405963810819</v>
      </c>
      <c r="Q132" s="96" t="str">
        <f t="shared" si="339"/>
        <v>5</v>
      </c>
      <c r="R132" s="8">
        <f t="shared" si="340"/>
        <v>9.1180871565729831</v>
      </c>
      <c r="S132" s="96" t="str">
        <f t="shared" si="341"/>
        <v>9</v>
      </c>
      <c r="T132" s="8">
        <f t="shared" si="342"/>
        <v>1.4170458788757969</v>
      </c>
      <c r="U132" s="96" t="str">
        <f t="shared" si="343"/>
        <v>1</v>
      </c>
      <c r="V132" s="8">
        <f t="shared" si="344"/>
        <v>5.004550546509563</v>
      </c>
      <c r="W132" s="96" t="str">
        <f t="shared" si="345"/>
        <v>5</v>
      </c>
      <c r="X132" s="8">
        <f t="shared" si="346"/>
        <v>5.4606558114755899E-2</v>
      </c>
      <c r="Y132" s="96" t="str">
        <f t="shared" si="347"/>
        <v>0</v>
      </c>
      <c r="Z132" s="8">
        <f t="shared" si="348"/>
        <v>0.65527869737707078</v>
      </c>
      <c r="AA132" s="96" t="str">
        <f t="shared" si="349"/>
        <v>0</v>
      </c>
      <c r="AB132" s="8">
        <f t="shared" si="350"/>
        <v>7.8633443685248494</v>
      </c>
      <c r="AC132" s="96" t="str">
        <f t="shared" si="351"/>
        <v>7</v>
      </c>
      <c r="AD132" s="8">
        <f t="shared" si="352"/>
        <v>10.360132422298193</v>
      </c>
      <c r="AE132" s="96" t="str">
        <f t="shared" si="353"/>
        <v>X</v>
      </c>
      <c r="AF132" s="8">
        <f t="shared" si="354"/>
        <v>4.3215890675783157</v>
      </c>
      <c r="AG132" s="96" t="str">
        <f t="shared" si="355"/>
        <v/>
      </c>
      <c r="AH132" s="8">
        <f t="shared" si="356"/>
        <v>3.8590688109397888</v>
      </c>
      <c r="AI132" s="96" t="str">
        <f t="shared" si="357"/>
        <v/>
      </c>
      <c r="AJ132" s="8">
        <f t="shared" si="358"/>
        <v>10.308825731277466</v>
      </c>
      <c r="AK132" s="96" t="str">
        <f t="shared" si="359"/>
        <v/>
      </c>
      <c r="AL132" s="238">
        <f>6*12+10+6/12</f>
        <v>82.5</v>
      </c>
      <c r="AM132" s="238">
        <f t="shared" ref="AM132" si="444">-AL132*F$6*20736+D132</f>
        <v>-74.384735689181241</v>
      </c>
    </row>
    <row r="133" spans="2:39" x14ac:dyDescent="0.2">
      <c r="B133" s="91"/>
      <c r="C133" s="9" t="s">
        <v>602</v>
      </c>
      <c r="D133" s="198">
        <v>37</v>
      </c>
      <c r="E133" s="8">
        <v>9</v>
      </c>
      <c r="F133" s="127">
        <f t="shared" si="334"/>
        <v>91.978435037360654</v>
      </c>
      <c r="G133" s="37" t="str">
        <f t="shared" si="385"/>
        <v>7;7E8X89E45</v>
      </c>
      <c r="H133" s="37"/>
      <c r="I133" s="285"/>
      <c r="J133" s="38">
        <v>1</v>
      </c>
      <c r="K133" s="128">
        <f t="shared" si="386"/>
        <v>7.6648695864467307</v>
      </c>
      <c r="L133" s="39" t="str">
        <f>INDEX(powers!$H$2:$H$75,33+J133)</f>
        <v>dozen</v>
      </c>
      <c r="M133" s="97" t="str">
        <f t="shared" si="335"/>
        <v>7</v>
      </c>
      <c r="N133" s="8">
        <f t="shared" si="336"/>
        <v>7.978435037360768</v>
      </c>
      <c r="O133" s="96" t="str">
        <f t="shared" si="337"/>
        <v>7</v>
      </c>
      <c r="P133" s="8">
        <f t="shared" si="338"/>
        <v>11.741220448329216</v>
      </c>
      <c r="Q133" s="96" t="str">
        <f t="shared" si="339"/>
        <v>E</v>
      </c>
      <c r="R133" s="8">
        <f t="shared" si="340"/>
        <v>8.8946453799505889</v>
      </c>
      <c r="S133" s="96" t="str">
        <f t="shared" si="341"/>
        <v>8</v>
      </c>
      <c r="T133" s="8">
        <f t="shared" si="342"/>
        <v>10.735744559407067</v>
      </c>
      <c r="U133" s="96" t="str">
        <f t="shared" si="343"/>
        <v>X</v>
      </c>
      <c r="V133" s="8">
        <f t="shared" si="344"/>
        <v>8.8289347128848021</v>
      </c>
      <c r="W133" s="96" t="str">
        <f t="shared" si="345"/>
        <v>8</v>
      </c>
      <c r="X133" s="8">
        <f t="shared" si="346"/>
        <v>9.9472165546176257</v>
      </c>
      <c r="Y133" s="96" t="str">
        <f t="shared" si="347"/>
        <v>9</v>
      </c>
      <c r="Z133" s="8">
        <f t="shared" si="348"/>
        <v>11.366598655411508</v>
      </c>
      <c r="AA133" s="96" t="str">
        <f t="shared" si="349"/>
        <v>E</v>
      </c>
      <c r="AB133" s="8">
        <f t="shared" si="350"/>
        <v>4.3991838649380952</v>
      </c>
      <c r="AC133" s="96" t="str">
        <f t="shared" si="351"/>
        <v>4</v>
      </c>
      <c r="AD133" s="8">
        <f t="shared" si="352"/>
        <v>4.7902063792571425</v>
      </c>
      <c r="AE133" s="96" t="str">
        <f t="shared" si="353"/>
        <v>5</v>
      </c>
      <c r="AF133" s="8">
        <f t="shared" si="354"/>
        <v>9.4824765510857105</v>
      </c>
      <c r="AG133" s="96" t="str">
        <f t="shared" si="355"/>
        <v/>
      </c>
      <c r="AH133" s="8">
        <f t="shared" si="356"/>
        <v>5.7897186130285263</v>
      </c>
      <c r="AI133" s="96" t="str">
        <f t="shared" si="357"/>
        <v/>
      </c>
      <c r="AJ133" s="8">
        <f t="shared" si="358"/>
        <v>9.4766233563423157</v>
      </c>
      <c r="AK133" s="96" t="str">
        <f t="shared" si="359"/>
        <v/>
      </c>
    </row>
    <row r="134" spans="2:39" x14ac:dyDescent="0.2">
      <c r="B134" s="126"/>
      <c r="C134" s="9" t="s">
        <v>603</v>
      </c>
      <c r="D134" s="198">
        <v>37.799999999999997</v>
      </c>
      <c r="E134" s="8">
        <v>9</v>
      </c>
      <c r="F134" s="127">
        <f t="shared" si="334"/>
        <v>92.639196659690782</v>
      </c>
      <c r="G134" s="37" t="str">
        <f t="shared" si="385"/>
        <v>7;8780646E</v>
      </c>
      <c r="H134" s="37"/>
      <c r="I134" s="285"/>
      <c r="J134" s="38">
        <v>1</v>
      </c>
      <c r="K134" s="128">
        <f t="shared" si="386"/>
        <v>7.7199330549742413</v>
      </c>
      <c r="L134" s="39" t="str">
        <f>INDEX(powers!$H$2:$H$75,33+J134)</f>
        <v>dozen</v>
      </c>
      <c r="M134" s="97" t="str">
        <f t="shared" si="335"/>
        <v>7</v>
      </c>
      <c r="N134" s="8">
        <f t="shared" si="336"/>
        <v>8.6391966596908958</v>
      </c>
      <c r="O134" s="96" t="str">
        <f t="shared" si="337"/>
        <v>8</v>
      </c>
      <c r="P134" s="8">
        <f t="shared" si="338"/>
        <v>7.6703599162907494</v>
      </c>
      <c r="Q134" s="96" t="str">
        <f t="shared" si="339"/>
        <v>7</v>
      </c>
      <c r="R134" s="8">
        <f t="shared" si="340"/>
        <v>8.0443189954889931</v>
      </c>
      <c r="S134" s="96" t="str">
        <f t="shared" si="341"/>
        <v>8</v>
      </c>
      <c r="T134" s="8">
        <f t="shared" si="342"/>
        <v>0.53182794586791715</v>
      </c>
      <c r="U134" s="96" t="str">
        <f t="shared" si="343"/>
        <v>0</v>
      </c>
      <c r="V134" s="8">
        <f t="shared" si="344"/>
        <v>6.3819353504150058</v>
      </c>
      <c r="W134" s="96" t="str">
        <f t="shared" si="345"/>
        <v>6</v>
      </c>
      <c r="X134" s="8">
        <f t="shared" si="346"/>
        <v>4.5832242049800698</v>
      </c>
      <c r="Y134" s="96" t="str">
        <f t="shared" si="347"/>
        <v>4</v>
      </c>
      <c r="Z134" s="8">
        <f t="shared" si="348"/>
        <v>6.9986904597608373</v>
      </c>
      <c r="AA134" s="96" t="str">
        <f t="shared" si="349"/>
        <v>6</v>
      </c>
      <c r="AB134" s="8">
        <f t="shared" si="350"/>
        <v>11.984285517130047</v>
      </c>
      <c r="AC134" s="96" t="str">
        <f t="shared" si="351"/>
        <v>E</v>
      </c>
      <c r="AD134" s="8">
        <f t="shared" si="352"/>
        <v>11.811426205560565</v>
      </c>
      <c r="AE134" s="96" t="str">
        <f t="shared" si="353"/>
        <v/>
      </c>
      <c r="AF134" s="8">
        <f t="shared" si="354"/>
        <v>9.7371144667267799</v>
      </c>
      <c r="AG134" s="96" t="str">
        <f t="shared" si="355"/>
        <v/>
      </c>
      <c r="AH134" s="8">
        <f t="shared" si="356"/>
        <v>8.8453736007213593</v>
      </c>
      <c r="AI134" s="96" t="str">
        <f t="shared" si="357"/>
        <v/>
      </c>
      <c r="AJ134" s="8">
        <f t="shared" si="358"/>
        <v>10.144483208656311</v>
      </c>
      <c r="AK134" s="96" t="str">
        <f t="shared" si="359"/>
        <v/>
      </c>
    </row>
    <row r="135" spans="2:39" x14ac:dyDescent="0.2">
      <c r="B135" s="126" t="s">
        <v>615</v>
      </c>
      <c r="C135" s="9" t="s">
        <v>604</v>
      </c>
      <c r="D135" s="198">
        <v>58.8</v>
      </c>
      <c r="E135" s="8">
        <v>9</v>
      </c>
      <c r="F135" s="127">
        <f t="shared" si="334"/>
        <v>109.98418924585678</v>
      </c>
      <c r="G135" s="37" t="str">
        <f t="shared" ref="G135" si="445">M135&amp;";"&amp;O135&amp;Q135&amp;S135&amp;U135&amp;W135&amp;Y135&amp;AA135&amp;AC135&amp;AE135&amp;AG135&amp;AI135&amp;AK135</f>
        <v>9;1E9881941</v>
      </c>
      <c r="H135" s="37"/>
      <c r="I135" s="285"/>
      <c r="J135" s="38">
        <v>1</v>
      </c>
      <c r="K135" s="128">
        <f t="shared" ref="K135" si="446">F135/POWER(12,J135)+0.00000000000001</f>
        <v>9.1653491038214092</v>
      </c>
      <c r="L135" s="39" t="str">
        <f>INDEX(powers!$H$2:$H$75,33+J135)</f>
        <v>dozen</v>
      </c>
      <c r="M135" s="97" t="str">
        <f t="shared" ref="M135" si="447">IF($E135&gt;=M$31,MID($J$31,IF($E135&gt;M$31,INT(K135),ROUND(K135,0))+1,1),"")</f>
        <v>9</v>
      </c>
      <c r="N135" s="8">
        <f t="shared" ref="N135" si="448">(K135-INT(K135))*12</f>
        <v>1.9841892458569106</v>
      </c>
      <c r="O135" s="96" t="str">
        <f t="shared" ref="O135" si="449">IF($E135&gt;=O$31,MID($J$31,IF($E135&gt;O$31,INT(N135),ROUND(N135,0))+1,1),"")</f>
        <v>1</v>
      </c>
      <c r="P135" s="8">
        <f t="shared" ref="P135" si="450">(N135-INT(N135))*12</f>
        <v>11.810270950282927</v>
      </c>
      <c r="Q135" s="96" t="str">
        <f t="shared" ref="Q135" si="451">IF($E135&gt;=Q$31,MID($J$31,IF($E135&gt;Q$31,INT(P135),ROUND(P135,0))+1,1),"")</f>
        <v>E</v>
      </c>
      <c r="R135" s="8">
        <f t="shared" ref="R135" si="452">(P135-INT(P135))*12</f>
        <v>9.7232514033951247</v>
      </c>
      <c r="S135" s="96" t="str">
        <f t="shared" ref="S135" si="453">IF($E135&gt;=S$31,MID($J$31,IF($E135&gt;S$31,INT(R135),ROUND(R135,0))+1,1),"")</f>
        <v>9</v>
      </c>
      <c r="T135" s="8">
        <f t="shared" ref="T135" si="454">(R135-INT(R135))*12</f>
        <v>8.6790168407414967</v>
      </c>
      <c r="U135" s="96" t="str">
        <f t="shared" ref="U135" si="455">IF($E135&gt;=U$31,MID($J$31,IF($E135&gt;U$31,INT(T135),ROUND(T135,0))+1,1),"")</f>
        <v>8</v>
      </c>
      <c r="V135" s="8">
        <f t="shared" ref="V135" si="456">(T135-INT(T135))*12</f>
        <v>8.1482020888979605</v>
      </c>
      <c r="W135" s="96" t="str">
        <f t="shared" ref="W135" si="457">IF($E135&gt;=W$31,MID($J$31,IF($E135&gt;W$31,INT(V135),ROUND(V135,0))+1,1),"")</f>
        <v>8</v>
      </c>
      <c r="X135" s="8">
        <f t="shared" ref="X135" si="458">(V135-INT(V135))*12</f>
        <v>1.7784250667755259</v>
      </c>
      <c r="Y135" s="96" t="str">
        <f t="shared" ref="Y135" si="459">IF($E135&gt;=Y$31,MID($J$31,IF($E135&gt;Y$31,INT(X135),ROUND(X135,0))+1,1),"")</f>
        <v>1</v>
      </c>
      <c r="Z135" s="8">
        <f t="shared" ref="Z135" si="460">(X135-INT(X135))*12</f>
        <v>9.341100801306311</v>
      </c>
      <c r="AA135" s="96" t="str">
        <f t="shared" ref="AA135" si="461">IF($E135&gt;=AA$31,MID($J$31,IF($E135&gt;AA$31,INT(Z135),ROUND(Z135,0))+1,1),"")</f>
        <v>9</v>
      </c>
      <c r="AB135" s="8">
        <f t="shared" ref="AB135" si="462">(Z135-INT(Z135))*12</f>
        <v>4.0932096156757325</v>
      </c>
      <c r="AC135" s="96" t="str">
        <f t="shared" ref="AC135" si="463">IF($E135&gt;=AC$31,MID($J$31,IF($E135&gt;AC$31,INT(AB135),ROUND(AB135,0))+1,1),"")</f>
        <v>4</v>
      </c>
      <c r="AD135" s="8">
        <f t="shared" ref="AD135" si="464">(AB135-INT(AB135))*12</f>
        <v>1.1185153881087899</v>
      </c>
      <c r="AE135" s="96" t="str">
        <f t="shared" ref="AE135" si="465">IF($E135&gt;=AE$31,MID($J$31,IF($E135&gt;AE$31,INT(AD135),ROUND(AD135,0))+1,1),"")</f>
        <v>1</v>
      </c>
      <c r="AF135" s="8">
        <f t="shared" ref="AF135" si="466">(AD135-INT(AD135))*12</f>
        <v>1.422184657305479</v>
      </c>
      <c r="AG135" s="96" t="str">
        <f t="shared" ref="AG135" si="467">IF($E135&gt;=AG$31,MID($J$31,IF($E135&gt;AG$31,INT(AF135),ROUND(AF135,0))+1,1),"")</f>
        <v/>
      </c>
      <c r="AH135" s="8">
        <f t="shared" ref="AH135" si="468">(AF135-INT(AF135))*12</f>
        <v>5.0662158876657486</v>
      </c>
      <c r="AI135" s="96" t="str">
        <f t="shared" ref="AI135" si="469">IF($E135&gt;=AI$31,MID($J$31,IF($E135&gt;AI$31,INT(AH135),ROUND(AH135,0))+1,1),"")</f>
        <v/>
      </c>
      <c r="AJ135" s="8">
        <f t="shared" ref="AJ135" si="470">(AH135-INT(AH135))*12</f>
        <v>0.79459065198898315</v>
      </c>
      <c r="AK135" s="96" t="str">
        <f t="shared" ref="AK135" si="471">IF($E135&gt;=AK$31,MID($J$31,IF($E135&gt;AK$31,INT(AJ135),ROUND(AJ135,0))+1,1),"")</f>
        <v/>
      </c>
    </row>
    <row r="136" spans="2:39" x14ac:dyDescent="0.2">
      <c r="B136" s="126"/>
      <c r="C136" s="9" t="s">
        <v>605</v>
      </c>
      <c r="D136" s="198">
        <v>60</v>
      </c>
      <c r="E136" s="8">
        <v>9</v>
      </c>
      <c r="F136" s="127">
        <f t="shared" si="334"/>
        <v>110.97533167935198</v>
      </c>
      <c r="G136" s="37" t="str">
        <f t="shared" si="385"/>
        <v>9;2E8545896</v>
      </c>
      <c r="H136" s="37"/>
      <c r="I136" s="285"/>
      <c r="J136" s="38">
        <v>1</v>
      </c>
      <c r="K136" s="128">
        <f t="shared" si="386"/>
        <v>9.2479443066126752</v>
      </c>
      <c r="L136" s="39" t="str">
        <f>INDEX(powers!$H$2:$H$75,33+J136)</f>
        <v>dozen</v>
      </c>
      <c r="M136" s="97" t="str">
        <f t="shared" si="335"/>
        <v>9</v>
      </c>
      <c r="N136" s="8">
        <f t="shared" si="336"/>
        <v>2.9753316793521023</v>
      </c>
      <c r="O136" s="96" t="str">
        <f t="shared" si="337"/>
        <v>2</v>
      </c>
      <c r="P136" s="8">
        <f t="shared" si="338"/>
        <v>11.703980152225228</v>
      </c>
      <c r="Q136" s="96" t="str">
        <f t="shared" si="339"/>
        <v>E</v>
      </c>
      <c r="R136" s="8">
        <f t="shared" si="340"/>
        <v>8.447761826702731</v>
      </c>
      <c r="S136" s="96" t="str">
        <f t="shared" si="341"/>
        <v>8</v>
      </c>
      <c r="T136" s="8">
        <f t="shared" si="342"/>
        <v>5.3731419204327722</v>
      </c>
      <c r="U136" s="96" t="str">
        <f t="shared" si="343"/>
        <v>5</v>
      </c>
      <c r="V136" s="8">
        <f t="shared" si="344"/>
        <v>4.477703045193266</v>
      </c>
      <c r="W136" s="96" t="str">
        <f t="shared" si="345"/>
        <v>4</v>
      </c>
      <c r="X136" s="8">
        <f t="shared" si="346"/>
        <v>5.7324365423191921</v>
      </c>
      <c r="Y136" s="96" t="str">
        <f t="shared" si="347"/>
        <v>5</v>
      </c>
      <c r="Z136" s="8">
        <f t="shared" si="348"/>
        <v>8.789238507830305</v>
      </c>
      <c r="AA136" s="96" t="str">
        <f t="shared" si="349"/>
        <v>8</v>
      </c>
      <c r="AB136" s="8">
        <f t="shared" si="350"/>
        <v>9.4708620939636603</v>
      </c>
      <c r="AC136" s="96" t="str">
        <f t="shared" si="351"/>
        <v>9</v>
      </c>
      <c r="AD136" s="8">
        <f t="shared" si="352"/>
        <v>5.6503451275639236</v>
      </c>
      <c r="AE136" s="96" t="str">
        <f t="shared" si="353"/>
        <v>6</v>
      </c>
      <c r="AF136" s="8">
        <f t="shared" si="354"/>
        <v>7.8041415307670832</v>
      </c>
      <c r="AG136" s="96" t="str">
        <f t="shared" si="355"/>
        <v/>
      </c>
      <c r="AH136" s="8">
        <f t="shared" si="356"/>
        <v>9.649698369204998</v>
      </c>
      <c r="AI136" s="96" t="str">
        <f t="shared" si="357"/>
        <v/>
      </c>
      <c r="AJ136" s="8">
        <f t="shared" si="358"/>
        <v>7.7963804304599762</v>
      </c>
      <c r="AK136" s="96" t="str">
        <f t="shared" si="359"/>
        <v/>
      </c>
    </row>
    <row r="137" spans="2:39" x14ac:dyDescent="0.2">
      <c r="B137" s="126"/>
      <c r="C137" s="9" t="s">
        <v>606</v>
      </c>
      <c r="D137" s="198">
        <v>83</v>
      </c>
      <c r="E137" s="8">
        <v>9</v>
      </c>
      <c r="F137" s="127">
        <f t="shared" si="334"/>
        <v>129.97222832134335</v>
      </c>
      <c r="G137" s="37" t="str">
        <f t="shared" si="385"/>
        <v>X;9E8001627</v>
      </c>
      <c r="H137" s="37"/>
      <c r="I137" s="285"/>
      <c r="J137" s="38">
        <v>1</v>
      </c>
      <c r="K137" s="128">
        <f t="shared" si="386"/>
        <v>10.831019026778623</v>
      </c>
      <c r="L137" s="39" t="str">
        <f>INDEX(powers!$H$2:$H$75,33+J137)</f>
        <v>dozen</v>
      </c>
      <c r="M137" s="97" t="str">
        <f t="shared" si="335"/>
        <v>X</v>
      </c>
      <c r="N137" s="8">
        <f t="shared" si="336"/>
        <v>9.9722283213434793</v>
      </c>
      <c r="O137" s="96" t="str">
        <f t="shared" si="337"/>
        <v>9</v>
      </c>
      <c r="P137" s="8">
        <f t="shared" si="338"/>
        <v>11.666739856121751</v>
      </c>
      <c r="Q137" s="96" t="str">
        <f t="shared" si="339"/>
        <v>E</v>
      </c>
      <c r="R137" s="8">
        <f t="shared" si="340"/>
        <v>8.0008782734610122</v>
      </c>
      <c r="S137" s="96" t="str">
        <f t="shared" si="341"/>
        <v>8</v>
      </c>
      <c r="T137" s="8">
        <f t="shared" si="342"/>
        <v>1.053928153214656E-2</v>
      </c>
      <c r="U137" s="96" t="str">
        <f t="shared" si="343"/>
        <v>0</v>
      </c>
      <c r="V137" s="8">
        <f t="shared" si="344"/>
        <v>0.12647137838575873</v>
      </c>
      <c r="W137" s="96" t="str">
        <f t="shared" si="345"/>
        <v>0</v>
      </c>
      <c r="X137" s="8">
        <f t="shared" si="346"/>
        <v>1.5176565406291047</v>
      </c>
      <c r="Y137" s="96" t="str">
        <f t="shared" si="347"/>
        <v>1</v>
      </c>
      <c r="Z137" s="8">
        <f t="shared" si="348"/>
        <v>6.2118784875492565</v>
      </c>
      <c r="AA137" s="96" t="str">
        <f t="shared" si="349"/>
        <v>6</v>
      </c>
      <c r="AB137" s="8">
        <f t="shared" si="350"/>
        <v>2.5425418505910784</v>
      </c>
      <c r="AC137" s="96" t="str">
        <f t="shared" si="351"/>
        <v>2</v>
      </c>
      <c r="AD137" s="8">
        <f t="shared" si="352"/>
        <v>6.5105022070929408</v>
      </c>
      <c r="AE137" s="96" t="str">
        <f t="shared" si="353"/>
        <v>7</v>
      </c>
      <c r="AF137" s="8">
        <f t="shared" si="354"/>
        <v>6.1260264851152897</v>
      </c>
      <c r="AG137" s="96" t="str">
        <f t="shared" si="355"/>
        <v/>
      </c>
      <c r="AH137" s="8">
        <f t="shared" si="356"/>
        <v>1.5123178213834763</v>
      </c>
      <c r="AI137" s="96" t="str">
        <f t="shared" si="357"/>
        <v/>
      </c>
      <c r="AJ137" s="8">
        <f t="shared" si="358"/>
        <v>6.1478138566017151</v>
      </c>
      <c r="AK137" s="96" t="str">
        <f t="shared" si="359"/>
        <v/>
      </c>
    </row>
    <row r="138" spans="2:39" x14ac:dyDescent="0.2">
      <c r="B138" s="91" t="s">
        <v>618</v>
      </c>
      <c r="C138" s="9" t="s">
        <v>609</v>
      </c>
      <c r="D138" s="198">
        <v>99.974000000000004</v>
      </c>
      <c r="E138" s="8">
        <v>9</v>
      </c>
      <c r="F138" s="127">
        <f t="shared" si="334"/>
        <v>143.99193804313296</v>
      </c>
      <c r="G138" s="37" t="str">
        <f t="shared" si="385"/>
        <v>0;EEEXX09E2</v>
      </c>
      <c r="H138" s="37"/>
      <c r="I138" s="285"/>
      <c r="J138" s="38">
        <v>2</v>
      </c>
      <c r="K138" s="128">
        <f t="shared" si="386"/>
        <v>0.99994401418843337</v>
      </c>
      <c r="L138" s="39" t="str">
        <f>INDEX(powers!$H$2:$H$75,33+J138)</f>
        <v>gross</v>
      </c>
      <c r="M138" s="97" t="str">
        <f t="shared" si="335"/>
        <v>0</v>
      </c>
      <c r="N138" s="8">
        <f t="shared" si="336"/>
        <v>11.999328170261201</v>
      </c>
      <c r="O138" s="96" t="str">
        <f t="shared" si="337"/>
        <v>E</v>
      </c>
      <c r="P138" s="8">
        <f t="shared" si="338"/>
        <v>11.991938043134411</v>
      </c>
      <c r="Q138" s="96" t="str">
        <f t="shared" si="339"/>
        <v>E</v>
      </c>
      <c r="R138" s="8">
        <f t="shared" si="340"/>
        <v>11.903256517612931</v>
      </c>
      <c r="S138" s="96" t="str">
        <f t="shared" si="341"/>
        <v>E</v>
      </c>
      <c r="T138" s="8">
        <f t="shared" si="342"/>
        <v>10.839078211355172</v>
      </c>
      <c r="U138" s="96" t="str">
        <f t="shared" si="343"/>
        <v>X</v>
      </c>
      <c r="V138" s="8">
        <f t="shared" si="344"/>
        <v>10.068938536262067</v>
      </c>
      <c r="W138" s="96" t="str">
        <f t="shared" si="345"/>
        <v>X</v>
      </c>
      <c r="X138" s="8">
        <f t="shared" si="346"/>
        <v>0.82726243514480302</v>
      </c>
      <c r="Y138" s="96" t="str">
        <f t="shared" si="347"/>
        <v>0</v>
      </c>
      <c r="Z138" s="8">
        <f t="shared" si="348"/>
        <v>9.9271492217376363</v>
      </c>
      <c r="AA138" s="96" t="str">
        <f t="shared" si="349"/>
        <v>9</v>
      </c>
      <c r="AB138" s="8">
        <f t="shared" si="350"/>
        <v>11.125790660851635</v>
      </c>
      <c r="AC138" s="96" t="str">
        <f t="shared" si="351"/>
        <v>E</v>
      </c>
      <c r="AD138" s="8">
        <f t="shared" si="352"/>
        <v>1.5094879302196205</v>
      </c>
      <c r="AE138" s="96" t="str">
        <f t="shared" si="353"/>
        <v>2</v>
      </c>
      <c r="AF138" s="8">
        <f t="shared" si="354"/>
        <v>6.1138551626354456</v>
      </c>
      <c r="AG138" s="96" t="str">
        <f t="shared" si="355"/>
        <v/>
      </c>
      <c r="AH138" s="8">
        <f t="shared" si="356"/>
        <v>1.3662619516253471</v>
      </c>
      <c r="AI138" s="96" t="str">
        <f t="shared" si="357"/>
        <v/>
      </c>
      <c r="AJ138" s="8">
        <f t="shared" si="358"/>
        <v>4.3951434195041656</v>
      </c>
      <c r="AK138" s="96" t="str">
        <f t="shared" si="359"/>
        <v/>
      </c>
      <c r="AL138" s="238">
        <f>144</f>
        <v>144</v>
      </c>
      <c r="AM138" s="238">
        <f t="shared" ref="AM138:AM140" si="472">-AL138*F$6*20736+D138</f>
        <v>-74.370265930207253</v>
      </c>
    </row>
    <row r="139" spans="2:39" x14ac:dyDescent="0.2">
      <c r="B139" s="91" t="s">
        <v>619</v>
      </c>
      <c r="C139" s="9" t="s">
        <v>617</v>
      </c>
      <c r="D139" s="198">
        <v>99.983900000000006</v>
      </c>
      <c r="E139" s="8">
        <v>9</v>
      </c>
      <c r="F139" s="127">
        <f t="shared" si="334"/>
        <v>144.00011496820929</v>
      </c>
      <c r="G139" s="37" t="str">
        <f t="shared" ref="G139" si="473">M139&amp;";"&amp;O139&amp;Q139&amp;S139&amp;U139&amp;W139&amp;Y139&amp;AA139&amp;AC139&amp;AE139&amp;AG139&amp;AI139&amp;AK139</f>
        <v>1;000002474</v>
      </c>
      <c r="H139" s="37"/>
      <c r="I139" s="285"/>
      <c r="J139" s="38">
        <v>2</v>
      </c>
      <c r="K139" s="128">
        <f t="shared" ref="K139" si="474">F139/POWER(12,J139)+0.00000000000001</f>
        <v>1.0000007983903523</v>
      </c>
      <c r="L139" s="39" t="str">
        <f>INDEX(powers!$H$2:$H$75,33+J139)</f>
        <v>gross</v>
      </c>
      <c r="M139" s="97" t="str">
        <f t="shared" ref="M139" si="475">IF($E139&gt;=M$31,MID($J$31,IF($E139&gt;M$31,INT(K139),ROUND(K139,0))+1,1),"")</f>
        <v>1</v>
      </c>
      <c r="N139" s="8">
        <f t="shared" ref="N139" si="476">(K139-INT(K139))*12</f>
        <v>9.5806842272949666E-6</v>
      </c>
      <c r="O139" s="96" t="str">
        <f t="shared" ref="O139" si="477">IF($E139&gt;=O$31,MID($J$31,IF($E139&gt;O$31,INT(N139),ROUND(N139,0))+1,1),"")</f>
        <v>0</v>
      </c>
      <c r="P139" s="8">
        <f t="shared" ref="P139" si="478">(N139-INT(N139))*12</f>
        <v>1.149682107275396E-4</v>
      </c>
      <c r="Q139" s="96" t="str">
        <f t="shared" ref="Q139" si="479">IF($E139&gt;=Q$31,MID($J$31,IF($E139&gt;Q$31,INT(P139),ROUND(P139,0))+1,1),"")</f>
        <v>0</v>
      </c>
      <c r="R139" s="8">
        <f t="shared" ref="R139" si="480">(P139-INT(P139))*12</f>
        <v>1.3796185287304752E-3</v>
      </c>
      <c r="S139" s="96" t="str">
        <f t="shared" ref="S139" si="481">IF($E139&gt;=S$31,MID($J$31,IF($E139&gt;S$31,INT(R139),ROUND(R139,0))+1,1),"")</f>
        <v>0</v>
      </c>
      <c r="T139" s="8">
        <f t="shared" ref="T139" si="482">(R139-INT(R139))*12</f>
        <v>1.6555422344765702E-2</v>
      </c>
      <c r="U139" s="96" t="str">
        <f t="shared" ref="U139" si="483">IF($E139&gt;=U$31,MID($J$31,IF($E139&gt;U$31,INT(T139),ROUND(T139,0))+1,1),"")</f>
        <v>0</v>
      </c>
      <c r="V139" s="8">
        <f t="shared" ref="V139" si="484">(T139-INT(T139))*12</f>
        <v>0.19866506813718843</v>
      </c>
      <c r="W139" s="96" t="str">
        <f t="shared" ref="W139" si="485">IF($E139&gt;=W$31,MID($J$31,IF($E139&gt;W$31,INT(V139),ROUND(V139,0))+1,1),"")</f>
        <v>0</v>
      </c>
      <c r="X139" s="8">
        <f t="shared" ref="X139" si="486">(V139-INT(V139))*12</f>
        <v>2.3839808176462611</v>
      </c>
      <c r="Y139" s="96" t="str">
        <f t="shared" ref="Y139" si="487">IF($E139&gt;=Y$31,MID($J$31,IF($E139&gt;Y$31,INT(X139),ROUND(X139,0))+1,1),"")</f>
        <v>2</v>
      </c>
      <c r="Z139" s="8">
        <f t="shared" ref="Z139" si="488">(X139-INT(X139))*12</f>
        <v>4.6077698117551336</v>
      </c>
      <c r="AA139" s="96" t="str">
        <f t="shared" ref="AA139" si="489">IF($E139&gt;=AA$31,MID($J$31,IF($E139&gt;AA$31,INT(Z139),ROUND(Z139,0))+1,1),"")</f>
        <v>4</v>
      </c>
      <c r="AB139" s="8">
        <f t="shared" ref="AB139" si="490">(Z139-INT(Z139))*12</f>
        <v>7.2932377410616027</v>
      </c>
      <c r="AC139" s="96" t="str">
        <f t="shared" ref="AC139" si="491">IF($E139&gt;=AC$31,MID($J$31,IF($E139&gt;AC$31,INT(AB139),ROUND(AB139,0))+1,1),"")</f>
        <v>7</v>
      </c>
      <c r="AD139" s="8">
        <f t="shared" ref="AD139" si="492">(AB139-INT(AB139))*12</f>
        <v>3.5188528927392326</v>
      </c>
      <c r="AE139" s="96" t="str">
        <f t="shared" ref="AE139" si="493">IF($E139&gt;=AE$31,MID($J$31,IF($E139&gt;AE$31,INT(AD139),ROUND(AD139,0))+1,1),"")</f>
        <v>4</v>
      </c>
      <c r="AF139" s="8">
        <f t="shared" ref="AF139" si="494">(AD139-INT(AD139))*12</f>
        <v>6.2262347128707916</v>
      </c>
      <c r="AG139" s="96" t="str">
        <f t="shared" ref="AG139" si="495">IF($E139&gt;=AG$31,MID($J$31,IF($E139&gt;AG$31,INT(AF139),ROUND(AF139,0))+1,1),"")</f>
        <v/>
      </c>
      <c r="AH139" s="8">
        <f t="shared" ref="AH139" si="496">(AF139-INT(AF139))*12</f>
        <v>2.7148165544494987</v>
      </c>
      <c r="AI139" s="96" t="str">
        <f t="shared" ref="AI139" si="497">IF($E139&gt;=AI$31,MID($J$31,IF($E139&gt;AI$31,INT(AH139),ROUND(AH139,0))+1,1),"")</f>
        <v/>
      </c>
      <c r="AJ139" s="8">
        <f t="shared" ref="AJ139" si="498">(AH139-INT(AH139))*12</f>
        <v>8.5777986533939838</v>
      </c>
      <c r="AK139" s="96" t="str">
        <f t="shared" ref="AK139" si="499">IF($E139&gt;=AK$31,MID($J$31,IF($E139&gt;AK$31,INT(AJ139),ROUND(AJ139,0))+1,1),"")</f>
        <v/>
      </c>
      <c r="AL139" s="238">
        <f>144</f>
        <v>144</v>
      </c>
      <c r="AM139" s="238">
        <f t="shared" si="472"/>
        <v>-74.360365930207251</v>
      </c>
    </row>
    <row r="140" spans="2:39" ht="12" thickBot="1" x14ac:dyDescent="0.25">
      <c r="B140" s="129"/>
      <c r="C140" s="241" t="s">
        <v>607</v>
      </c>
      <c r="D140" s="199">
        <v>100</v>
      </c>
      <c r="E140" s="33">
        <v>9</v>
      </c>
      <c r="F140" s="130">
        <f t="shared" si="334"/>
        <v>144.01341279585867</v>
      </c>
      <c r="G140" s="47" t="str">
        <f t="shared" si="385"/>
        <v>1;0001E2165</v>
      </c>
      <c r="H140" s="47"/>
      <c r="I140" s="287"/>
      <c r="J140" s="48">
        <v>2</v>
      </c>
      <c r="K140" s="106">
        <f t="shared" si="386"/>
        <v>1.0000931444156953</v>
      </c>
      <c r="L140" s="49" t="str">
        <f>INDEX(powers!$H$2:$H$75,33+J140)</f>
        <v>gross</v>
      </c>
      <c r="M140" s="97" t="str">
        <f t="shared" si="335"/>
        <v>1</v>
      </c>
      <c r="N140" s="8">
        <f t="shared" si="336"/>
        <v>1.1177329883436116E-3</v>
      </c>
      <c r="O140" s="96" t="str">
        <f t="shared" si="337"/>
        <v>0</v>
      </c>
      <c r="P140" s="8">
        <f t="shared" si="338"/>
        <v>1.3412795860123339E-2</v>
      </c>
      <c r="Q140" s="96" t="str">
        <f t="shared" si="339"/>
        <v>0</v>
      </c>
      <c r="R140" s="8">
        <f t="shared" si="340"/>
        <v>0.16095355032148007</v>
      </c>
      <c r="S140" s="96" t="str">
        <f t="shared" si="341"/>
        <v>0</v>
      </c>
      <c r="T140" s="8">
        <f t="shared" si="342"/>
        <v>1.9314426038577608</v>
      </c>
      <c r="U140" s="96" t="str">
        <f t="shared" si="343"/>
        <v>1</v>
      </c>
      <c r="V140" s="8">
        <f t="shared" si="344"/>
        <v>11.177311246293129</v>
      </c>
      <c r="W140" s="96" t="str">
        <f t="shared" si="345"/>
        <v>E</v>
      </c>
      <c r="X140" s="8">
        <f t="shared" si="346"/>
        <v>2.1277349555175533</v>
      </c>
      <c r="Y140" s="96" t="str">
        <f t="shared" si="347"/>
        <v>2</v>
      </c>
      <c r="Z140" s="8">
        <f t="shared" si="348"/>
        <v>1.5328194662106398</v>
      </c>
      <c r="AA140" s="96" t="str">
        <f t="shared" si="349"/>
        <v>1</v>
      </c>
      <c r="AB140" s="8">
        <f t="shared" si="350"/>
        <v>6.3938335945276776</v>
      </c>
      <c r="AC140" s="96" t="str">
        <f t="shared" si="351"/>
        <v>6</v>
      </c>
      <c r="AD140" s="8">
        <f t="shared" si="352"/>
        <v>4.7260031343321316</v>
      </c>
      <c r="AE140" s="96" t="str">
        <f t="shared" si="353"/>
        <v>5</v>
      </c>
      <c r="AF140" s="8">
        <f t="shared" si="354"/>
        <v>8.7120376119855791</v>
      </c>
      <c r="AG140" s="96" t="str">
        <f t="shared" si="355"/>
        <v/>
      </c>
      <c r="AH140" s="8">
        <f t="shared" si="356"/>
        <v>8.5444513438269496</v>
      </c>
      <c r="AI140" s="96" t="str">
        <f t="shared" si="357"/>
        <v/>
      </c>
      <c r="AJ140" s="8">
        <f t="shared" si="358"/>
        <v>6.5334161259233952</v>
      </c>
      <c r="AK140" s="96" t="str">
        <f t="shared" si="359"/>
        <v/>
      </c>
      <c r="AL140" s="238">
        <f>144</f>
        <v>144</v>
      </c>
      <c r="AM140" s="238">
        <f t="shared" si="472"/>
        <v>-74.344265930207257</v>
      </c>
    </row>
    <row r="141" spans="2:39" x14ac:dyDescent="0.2">
      <c r="B141" s="55"/>
      <c r="D141" s="243">
        <f>(D117+144*F6*20736-D139)*1</f>
        <v>-1.3919477814283709E-4</v>
      </c>
      <c r="F141" s="233"/>
      <c r="G141" s="234"/>
      <c r="H141" s="234"/>
      <c r="I141" s="292"/>
      <c r="J141" s="235"/>
      <c r="K141" s="236"/>
      <c r="L141" s="236"/>
      <c r="M141" s="237"/>
      <c r="O141" s="237"/>
      <c r="Q141" s="237"/>
      <c r="S141" s="237"/>
      <c r="U141" s="237"/>
      <c r="W141" s="237"/>
      <c r="Y141" s="237"/>
      <c r="AA141" s="237"/>
      <c r="AC141" s="237"/>
      <c r="AE141" s="237"/>
      <c r="AG141" s="237"/>
      <c r="AI141" s="237"/>
      <c r="AK141" s="237"/>
    </row>
    <row r="142" spans="2:39" x14ac:dyDescent="0.2">
      <c r="B142" s="138" t="s">
        <v>1755</v>
      </c>
      <c r="C142" s="54"/>
      <c r="D142" s="238">
        <f>D$117+F$6*F142*20736</f>
        <v>14.022351909077997</v>
      </c>
      <c r="F142" s="233">
        <f>12*6+1</f>
        <v>73</v>
      </c>
    </row>
    <row r="143" spans="2:39" x14ac:dyDescent="0.2">
      <c r="B143" s="138" t="s">
        <v>1756</v>
      </c>
      <c r="C143" s="54"/>
      <c r="D143" s="238">
        <f>D$117+F$6*F143*20736</f>
        <v>37.026109219313668</v>
      </c>
      <c r="F143" s="233">
        <f>12*7+8</f>
        <v>92</v>
      </c>
      <c r="AL143" s="238"/>
    </row>
    <row r="144" spans="2:39" x14ac:dyDescent="0.2">
      <c r="B144" s="138" t="s">
        <v>1757</v>
      </c>
      <c r="C144" s="54"/>
      <c r="D144" s="238">
        <f>D$117+F$6*F144*20736</f>
        <v>99.983760805221863</v>
      </c>
      <c r="F144" s="233">
        <v>144</v>
      </c>
    </row>
    <row r="145" spans="2:5" ht="14" x14ac:dyDescent="0.2">
      <c r="B145" s="138" t="s">
        <v>1861</v>
      </c>
      <c r="D145" s="441">
        <f>F6*POWER(12,7)*3-273.15</f>
        <v>6003.2435734874616</v>
      </c>
      <c r="E145" s="14" t="s">
        <v>1171</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670</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597" t="s">
        <v>1521</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662</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3286831269245092</v>
      </c>
      <c r="E28" s="8">
        <f>-E4</f>
        <v>-14</v>
      </c>
      <c r="F28" s="21">
        <f t="shared" si="0"/>
        <v>2.56</v>
      </c>
      <c r="G28" s="21"/>
      <c r="H28" s="21"/>
      <c r="I28" s="278"/>
      <c r="J28" s="8">
        <v>0</v>
      </c>
      <c r="K28" s="58">
        <f t="shared" si="1"/>
        <v>2.56</v>
      </c>
      <c r="L28" s="118" t="s">
        <v>664</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666</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9.4408945935587248E+16</v>
      </c>
      <c r="E30" s="33">
        <f>E5-E8</f>
        <v>-16</v>
      </c>
      <c r="F30" s="32">
        <f t="shared" si="0"/>
        <v>0.51063809596243481</v>
      </c>
      <c r="G30" s="32"/>
      <c r="H30" s="32"/>
      <c r="I30" s="282"/>
      <c r="J30" s="33">
        <v>0</v>
      </c>
      <c r="K30" s="60">
        <f t="shared" si="1"/>
        <v>0.51063809596243481</v>
      </c>
      <c r="L30" s="124" t="s">
        <v>667</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85"/>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85"/>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85"/>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85"/>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85"/>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85"/>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85"/>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85"/>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85"/>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85"/>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85"/>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85"/>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85"/>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2"/>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2"/>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2"/>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2"/>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2"/>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2"/>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2"/>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2"/>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2"/>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2"/>
      <c r="B84" s="30" t="s">
        <v>1214</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2"/>
      <c r="B85" s="30" t="s">
        <v>1215</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2"/>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2"/>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3"/>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1519</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721</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1498</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1071</v>
      </c>
    </row>
    <row r="97" spans="1:39" x14ac:dyDescent="0.2">
      <c r="B97" s="107" t="s">
        <v>1100</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1101</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1102</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 thickBot="1" x14ac:dyDescent="0.25">
      <c r="B100" s="105" t="s">
        <v>1103</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 thickBot="1" x14ac:dyDescent="0.25">
      <c r="B102" s="14" t="s">
        <v>1274</v>
      </c>
      <c r="K102" s="79"/>
      <c r="L102" s="79"/>
      <c r="M102" s="79"/>
    </row>
    <row r="103" spans="1:39" ht="12" thickBot="1" x14ac:dyDescent="0.25">
      <c r="B103" s="68" t="s">
        <v>1275</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 thickBot="1" x14ac:dyDescent="0.25">
      <c r="B105" s="14" t="s">
        <v>1073</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 thickBot="1" x14ac:dyDescent="0.25">
      <c r="B110" s="14" t="s">
        <v>1072</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5" x14ac:dyDescent="0.2">
      <c r="B138" s="138" t="s">
        <v>1170</v>
      </c>
      <c r="D138" s="441">
        <f>F6*POWER(12,7)*3-273.15</f>
        <v>6286.5128389142719</v>
      </c>
      <c r="E138" s="14" t="s">
        <v>1171</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720</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741</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742</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743</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755</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744</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745</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746</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747</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748</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W_e</v>
      </c>
      <c r="D23" s="21">
        <f>D9*683/R23</f>
        <v>0.80324452663297929</v>
      </c>
      <c r="E23" s="8">
        <f>E9</f>
        <v>10</v>
      </c>
      <c r="F23" s="21">
        <f t="shared" si="0"/>
        <v>49734783916.468651</v>
      </c>
      <c r="G23" s="21"/>
      <c r="H23" s="21"/>
      <c r="I23" s="278"/>
      <c r="J23" s="8">
        <f t="shared" si="1"/>
        <v>9</v>
      </c>
      <c r="K23" s="58">
        <f t="shared" si="2"/>
        <v>49.73478391646865</v>
      </c>
      <c r="L23" s="118" t="s">
        <v>749</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W_e/sr</v>
      </c>
      <c r="D24" s="21">
        <f>D23</f>
        <v>0.80324452663297929</v>
      </c>
      <c r="E24" s="8">
        <f>E9</f>
        <v>10</v>
      </c>
      <c r="F24" s="21">
        <f t="shared" si="0"/>
        <v>49734783916.468651</v>
      </c>
      <c r="G24" s="21"/>
      <c r="H24" s="21"/>
      <c r="I24" s="278"/>
      <c r="J24" s="8">
        <f t="shared" si="1"/>
        <v>9</v>
      </c>
      <c r="K24" s="58">
        <f t="shared" si="2"/>
        <v>49.73478391646865</v>
      </c>
      <c r="L24" s="118" t="s">
        <v>750</v>
      </c>
      <c r="M24" s="23"/>
      <c r="N24" s="82">
        <f t="shared" si="3"/>
        <v>-135.09082982808582</v>
      </c>
      <c r="O24" s="24"/>
      <c r="P24" s="83">
        <f t="shared" si="4"/>
        <v>1.0000000000000167</v>
      </c>
      <c r="Q24" s="24"/>
      <c r="R24" s="597" t="s">
        <v>1520</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W_e/Ω_2</v>
      </c>
      <c r="D25" s="21">
        <f>D23/(4*PI())</f>
        <v>6.3920168462574117E-2</v>
      </c>
      <c r="E25" s="8">
        <f>E9</f>
        <v>10</v>
      </c>
      <c r="F25" s="21">
        <f t="shared" si="0"/>
        <v>3957768351.9566398</v>
      </c>
      <c r="G25" s="21"/>
      <c r="H25" s="21"/>
      <c r="I25" s="278"/>
      <c r="J25" s="8">
        <f t="shared" si="1"/>
        <v>9</v>
      </c>
      <c r="K25" s="58">
        <f t="shared" si="2"/>
        <v>3.9577683519566396</v>
      </c>
      <c r="L25" s="118" t="s">
        <v>750</v>
      </c>
      <c r="M25" s="23"/>
      <c r="N25" s="82">
        <f t="shared" si="3"/>
        <v>-121.20863020519836</v>
      </c>
      <c r="O25" s="24"/>
      <c r="P25" s="83">
        <f t="shared" si="4"/>
        <v>1.0000000000000917</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W_e/m^2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751</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mol_n/s</v>
      </c>
      <c r="D28" s="21">
        <f>1/D4</f>
        <v>3286830300541730.5</v>
      </c>
      <c r="E28" s="8">
        <v>2</v>
      </c>
      <c r="F28" s="21">
        <f t="shared" si="0"/>
        <v>4.7330356327800922E+17</v>
      </c>
      <c r="G28" s="21"/>
      <c r="H28" s="21"/>
      <c r="I28" s="278"/>
      <c r="J28" s="8">
        <f t="shared" si="1"/>
        <v>15</v>
      </c>
      <c r="K28" s="58">
        <f t="shared" si="2"/>
        <v>473.30356327800922</v>
      </c>
      <c r="L28" s="118" t="s">
        <v>752</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753</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J_e/g</v>
      </c>
      <c r="D30" s="32">
        <f>D5/D8/R30</f>
        <v>8.987551787368176E+16</v>
      </c>
      <c r="E30" s="33">
        <f>E5-E8</f>
        <v>0</v>
      </c>
      <c r="F30" s="32">
        <f t="shared" si="0"/>
        <v>8.987551787368176E+16</v>
      </c>
      <c r="G30" s="32"/>
      <c r="H30" s="32"/>
      <c r="I30" s="282"/>
      <c r="J30" s="33">
        <f t="shared" si="1"/>
        <v>15</v>
      </c>
      <c r="K30" s="60">
        <f t="shared" si="2"/>
        <v>89.875517873681758</v>
      </c>
      <c r="L30" s="124" t="s">
        <v>754</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52"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85"/>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85"/>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85"/>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85"/>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85"/>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85"/>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85"/>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85"/>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85"/>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85"/>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85"/>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85"/>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85"/>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85"/>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85"/>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85"/>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85"/>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85"/>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85"/>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85"/>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85"/>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85"/>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85"/>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85"/>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85"/>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85"/>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85"/>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85"/>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85"/>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86"/>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1"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2"/>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2"/>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2"/>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2"/>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2"/>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2"/>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2"/>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2"/>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2"/>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2"/>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2"/>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2"/>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2"/>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2"/>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2"/>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2"/>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3"/>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698</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721</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1148</v>
      </c>
      <c r="D93" s="193">
        <f>F22*F93</f>
        <v>1.0128053070490128E+32</v>
      </c>
      <c r="F93" s="193">
        <f>G93*POWER(12,J93)</f>
        <v>213986410758144</v>
      </c>
      <c r="G93" s="209">
        <v>2</v>
      </c>
      <c r="J93" s="14">
        <v>13</v>
      </c>
      <c r="K93" s="79"/>
      <c r="L93" s="79"/>
      <c r="M93" s="79"/>
    </row>
    <row r="94" spans="1:37" ht="12"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1.5" x14ac:dyDescent="0.2"/>
  <cols>
    <col min="1" max="1" width="2.7265625" style="14" customWidth="1"/>
    <col min="2" max="2" width="6.453125" style="14" customWidth="1"/>
    <col min="3" max="3" width="12.26953125" style="14" customWidth="1"/>
    <col min="4" max="4" width="5.81640625" style="209" customWidth="1"/>
    <col min="5" max="5" width="13.81640625" style="14" customWidth="1"/>
    <col min="6" max="6" width="3.6328125" style="14" customWidth="1"/>
    <col min="7" max="7" width="9.1796875" style="14" customWidth="1"/>
    <col min="8" max="8" width="9.26953125" style="14" customWidth="1"/>
    <col min="9" max="9" width="8.6328125" style="14" customWidth="1"/>
    <col min="10" max="10" width="9.36328125" style="14" customWidth="1"/>
    <col min="11" max="11" width="3.1796875" style="14" customWidth="1"/>
    <col min="12" max="12" width="14.81640625" style="14" customWidth="1"/>
    <col min="13" max="13" width="11" style="14" customWidth="1"/>
    <col min="14" max="14" width="3.7265625" style="14" customWidth="1"/>
    <col min="15" max="15" width="8.7265625" style="14" customWidth="1"/>
    <col min="16" max="16" width="9.7265625"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16384" width="9" style="14"/>
  </cols>
  <sheetData>
    <row r="1" spans="1:41" ht="11.25" customHeight="1" x14ac:dyDescent="0.2">
      <c r="A1" s="611" t="s">
        <v>202</v>
      </c>
      <c r="B1" s="617" t="s">
        <v>42</v>
      </c>
      <c r="C1" s="617"/>
      <c r="D1" s="204" t="s">
        <v>95</v>
      </c>
      <c r="E1" s="17" t="s">
        <v>43</v>
      </c>
      <c r="F1" s="18" t="s">
        <v>44</v>
      </c>
      <c r="G1" s="17" t="s">
        <v>55</v>
      </c>
      <c r="H1" s="164" t="s">
        <v>95</v>
      </c>
      <c r="I1" s="155" t="s">
        <v>261</v>
      </c>
    </row>
    <row r="2" spans="1:41" ht="13.5" customHeight="1" x14ac:dyDescent="0.2">
      <c r="A2" s="612"/>
      <c r="B2" s="610" t="str">
        <f>Rydberg!B2</f>
        <v>Local Time</v>
      </c>
      <c r="C2" s="610"/>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12"/>
      <c r="B3" s="610" t="str">
        <f>Rydberg!B3</f>
        <v>Length</v>
      </c>
      <c r="C3" s="610"/>
      <c r="D3" s="3" t="str">
        <f>Rydberg!C3</f>
        <v>m</v>
      </c>
      <c r="E3" s="21">
        <f>IF(I$1="suffix u",Rydberg!F3,IF(I$1="suffix B",Bohr!F3,IF(I$1="suffix e",Clock!F3,Clock_by_Rydberg!F3)))</f>
        <v>0.27235220594173376</v>
      </c>
      <c r="F3" s="8">
        <v>-3</v>
      </c>
      <c r="G3" s="198">
        <f t="shared" ref="G3:G21" si="0">E3/POWER(10,F3)</f>
        <v>272.35220594173376</v>
      </c>
      <c r="H3" s="118" t="str">
        <f>Rydberg!L3</f>
        <v>mm</v>
      </c>
      <c r="I3" s="614" t="s">
        <v>1061</v>
      </c>
      <c r="J3" s="615"/>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1062</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12"/>
      <c r="B4" s="610" t="str">
        <f>Rydberg!B4</f>
        <v>Time</v>
      </c>
      <c r="C4" s="610"/>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12"/>
      <c r="B5" s="610" t="str">
        <f>Rydberg!B5</f>
        <v>Energy</v>
      </c>
      <c r="C5" s="610"/>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12"/>
      <c r="B6" s="610" t="str">
        <f>Rydberg!B6</f>
        <v>Temperature</v>
      </c>
      <c r="C6" s="610"/>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12"/>
      <c r="B7" s="610" t="str">
        <f>Rydberg!B7</f>
        <v>Amount of substance</v>
      </c>
      <c r="C7" s="610"/>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12"/>
      <c r="B8" s="610" t="str">
        <f>Rydberg!B8</f>
        <v>Mass</v>
      </c>
      <c r="C8" s="610"/>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12"/>
      <c r="B9" s="610" t="str">
        <f>Rydberg!B9</f>
        <v>Power</v>
      </c>
      <c r="C9" s="610"/>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12"/>
      <c r="B10" s="610" t="str">
        <f>Rydberg!B10</f>
        <v>Force</v>
      </c>
      <c r="C10" s="610"/>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12"/>
      <c r="B11" s="610" t="str">
        <f>Rydberg!B11</f>
        <v>Pressure</v>
      </c>
      <c r="C11" s="610"/>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12"/>
      <c r="B12" s="610" t="str">
        <f>Rydberg!B12</f>
        <v>Charge</v>
      </c>
      <c r="C12" s="610"/>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12"/>
      <c r="B13" s="610" t="str">
        <f>Rydberg!B13</f>
        <v>Electric current</v>
      </c>
      <c r="C13" s="610"/>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12"/>
      <c r="B14" s="610" t="str">
        <f>Rydberg!B14</f>
        <v>Field Strength</v>
      </c>
      <c r="C14" s="610"/>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12"/>
      <c r="B15" s="610" t="str">
        <f>Rydberg!B15</f>
        <v>Flux density</v>
      </c>
      <c r="C15" s="610"/>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12"/>
      <c r="B16" s="610" t="str">
        <f>Rydberg!B16</f>
        <v>Impedance</v>
      </c>
      <c r="C16" s="610"/>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12"/>
      <c r="B17" s="618" t="str">
        <f>Rydberg!B17</f>
        <v>Electric potential difference</v>
      </c>
      <c r="C17" s="618"/>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12"/>
      <c r="B18" s="610" t="str">
        <f>Rydberg!B18</f>
        <v>Electric capacitance</v>
      </c>
      <c r="C18" s="610"/>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12"/>
      <c r="B19" s="610" t="str">
        <f>Rydberg!B19</f>
        <v>Magnetic flux</v>
      </c>
      <c r="C19" s="610"/>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12"/>
      <c r="B20" s="610" t="str">
        <f>Rydberg!B20</f>
        <v>Magnetic flux density</v>
      </c>
      <c r="C20" s="610"/>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13"/>
      <c r="B21" s="616" t="str">
        <f>Rydberg!B21</f>
        <v>Inductance</v>
      </c>
      <c r="C21" s="616"/>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07"/>
      <c r="B22" s="608"/>
      <c r="C22" s="609" t="s">
        <v>549</v>
      </c>
      <c r="D22" s="609"/>
      <c r="E22" s="609"/>
      <c r="F22" s="609"/>
      <c r="G22" s="609"/>
      <c r="H22" s="609"/>
      <c r="I22" s="606" t="s">
        <v>550</v>
      </c>
      <c r="J22" s="606"/>
      <c r="K22" s="606"/>
      <c r="L22" s="606"/>
      <c r="M22" s="606"/>
      <c r="N22" s="606"/>
      <c r="O22" s="606"/>
      <c r="P22" s="606"/>
      <c r="Q22" s="23"/>
      <c r="R22" s="24"/>
      <c r="S22" s="24"/>
      <c r="T22" s="24"/>
      <c r="U22" s="24"/>
      <c r="V22" s="24"/>
      <c r="W22" s="24"/>
      <c r="X22" s="24"/>
      <c r="Y22" s="24"/>
      <c r="Z22" s="24"/>
      <c r="AA22" s="24"/>
      <c r="AB22" s="24"/>
      <c r="AC22" s="24"/>
      <c r="AD22" s="24"/>
      <c r="AE22" s="24"/>
    </row>
    <row r="23" spans="1:41" ht="11.25" customHeight="1" x14ac:dyDescent="0.2">
      <c r="A23" s="619" t="s">
        <v>569</v>
      </c>
      <c r="B23" s="200" t="s">
        <v>551</v>
      </c>
      <c r="C23" s="90" t="s">
        <v>42</v>
      </c>
      <c r="D23" s="204" t="s">
        <v>95</v>
      </c>
      <c r="E23" s="17" t="s">
        <v>43</v>
      </c>
      <c r="F23" s="18" t="s">
        <v>54</v>
      </c>
      <c r="G23" s="17" t="s">
        <v>47</v>
      </c>
      <c r="H23" s="164" t="s">
        <v>95</v>
      </c>
      <c r="I23" s="155" t="s">
        <v>42</v>
      </c>
      <c r="J23" s="18" t="s">
        <v>95</v>
      </c>
      <c r="K23" s="18" t="s">
        <v>54</v>
      </c>
      <c r="L23" s="17" t="s">
        <v>47</v>
      </c>
      <c r="M23" s="17" t="s">
        <v>45</v>
      </c>
      <c r="N23" s="579" t="s">
        <v>80</v>
      </c>
      <c r="O23" s="580"/>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19"/>
      <c r="B24" s="621"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19"/>
      <c r="B25" s="621"/>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19"/>
      <c r="B26" s="621"/>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19"/>
      <c r="B27" s="621"/>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19"/>
      <c r="B28" s="621"/>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19"/>
      <c r="B29" s="621"/>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19"/>
      <c r="B30" s="621"/>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19"/>
      <c r="B31" s="621"/>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19"/>
      <c r="B32" s="621"/>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19"/>
      <c r="B33" s="621"/>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19"/>
      <c r="B34" s="621"/>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19"/>
      <c r="B35" s="621"/>
      <c r="C35" s="188" t="s">
        <v>340</v>
      </c>
      <c r="D35" s="3" t="str">
        <f t="shared" si="60"/>
        <v>m</v>
      </c>
      <c r="E35" s="151">
        <f>E34</f>
        <v>5647.4953424077912</v>
      </c>
      <c r="F35" s="15">
        <v>0</v>
      </c>
      <c r="G35" s="166">
        <f>E35*POWER(10,-F35)/1852</f>
        <v>3.0494035326175979</v>
      </c>
      <c r="H35" s="167" t="s">
        <v>1060</v>
      </c>
      <c r="I35" s="162">
        <v>3</v>
      </c>
      <c r="J35" s="2" t="s">
        <v>1060</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19"/>
      <c r="B36" s="621"/>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19"/>
      <c r="B37" s="621"/>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19"/>
      <c r="B38" s="622"/>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19"/>
      <c r="B39" s="621" t="s">
        <v>734</v>
      </c>
      <c r="C39" s="165" t="s">
        <v>533</v>
      </c>
      <c r="D39" s="3" t="str">
        <f t="shared" ref="D39:D43" si="138">D40</f>
        <v>m^2</v>
      </c>
      <c r="E39" s="151">
        <f t="shared" ref="E39:E43" si="139">E40/12</f>
        <v>2.4841299913639373E-8</v>
      </c>
      <c r="F39" s="15">
        <v>-6</v>
      </c>
      <c r="G39" s="166">
        <f t="shared" ref="G39:G52" si="140">E39*POWER(10,-F39)</f>
        <v>2.4841299913639373E-2</v>
      </c>
      <c r="H39" s="167" t="s">
        <v>735</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19"/>
      <c r="B40" s="621"/>
      <c r="C40" s="168" t="s">
        <v>534</v>
      </c>
      <c r="D40" s="3" t="str">
        <f t="shared" si="138"/>
        <v>m^2</v>
      </c>
      <c r="E40" s="151">
        <f t="shared" si="139"/>
        <v>2.9809559896367248E-7</v>
      </c>
      <c r="F40" s="15">
        <v>-6</v>
      </c>
      <c r="G40" s="166">
        <f t="shared" si="140"/>
        <v>0.29809559896367249</v>
      </c>
      <c r="H40" s="167" t="s">
        <v>735</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19"/>
      <c r="B41" s="621"/>
      <c r="C41" s="169" t="s">
        <v>535</v>
      </c>
      <c r="D41" s="3" t="str">
        <f t="shared" si="138"/>
        <v>m^2</v>
      </c>
      <c r="E41" s="151">
        <f t="shared" si="139"/>
        <v>3.5771471875640695E-6</v>
      </c>
      <c r="F41" s="15">
        <v>-6</v>
      </c>
      <c r="G41" s="166">
        <f t="shared" si="140"/>
        <v>3.5771471875640697</v>
      </c>
      <c r="H41" s="167" t="s">
        <v>735</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19"/>
      <c r="B42" s="621"/>
      <c r="C42" s="170" t="s">
        <v>536</v>
      </c>
      <c r="D42" s="3" t="str">
        <f t="shared" si="138"/>
        <v>m^2</v>
      </c>
      <c r="E42" s="151">
        <f t="shared" si="139"/>
        <v>4.2925766250768836E-5</v>
      </c>
      <c r="F42" s="15">
        <v>-6</v>
      </c>
      <c r="G42" s="166">
        <f t="shared" si="140"/>
        <v>42.925766250768838</v>
      </c>
      <c r="H42" s="167" t="s">
        <v>735</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19"/>
      <c r="B43" s="621"/>
      <c r="C43" s="171" t="s">
        <v>537</v>
      </c>
      <c r="D43" s="3" t="str">
        <f t="shared" si="138"/>
        <v>m^2</v>
      </c>
      <c r="E43" s="151">
        <f t="shared" si="139"/>
        <v>5.1510919500922603E-4</v>
      </c>
      <c r="F43" s="15">
        <v>-4</v>
      </c>
      <c r="G43" s="166">
        <f t="shared" si="140"/>
        <v>5.1510919500922601</v>
      </c>
      <c r="H43" s="167" t="s">
        <v>736</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19"/>
      <c r="B44" s="621"/>
      <c r="C44" s="172" t="s">
        <v>538</v>
      </c>
      <c r="D44" s="3" t="str">
        <f>D45</f>
        <v>m^2</v>
      </c>
      <c r="E44" s="151">
        <f>E45/12</f>
        <v>6.1813103401107128E-3</v>
      </c>
      <c r="F44" s="15">
        <v>-4</v>
      </c>
      <c r="G44" s="166">
        <f t="shared" si="140"/>
        <v>61.813103401107128</v>
      </c>
      <c r="H44" s="167" t="s">
        <v>736</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19"/>
      <c r="B45" s="621"/>
      <c r="C45" s="173" t="s">
        <v>579</v>
      </c>
      <c r="D45" s="3" t="s">
        <v>588</v>
      </c>
      <c r="E45" s="151">
        <f>E3*E3</f>
        <v>7.4175724081328553E-2</v>
      </c>
      <c r="F45" s="15">
        <v>-2</v>
      </c>
      <c r="G45" s="166">
        <f t="shared" si="140"/>
        <v>7.4175724081328553</v>
      </c>
      <c r="H45" s="167" t="s">
        <v>737</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19"/>
      <c r="B46" s="621"/>
      <c r="C46" s="173" t="s">
        <v>337</v>
      </c>
      <c r="D46" s="3" t="str">
        <f t="shared" ref="D46:D50" si="158">D45</f>
        <v>m^2</v>
      </c>
      <c r="E46" s="151">
        <f>E45*12</f>
        <v>0.89010868897594264</v>
      </c>
      <c r="F46" s="15">
        <v>-2</v>
      </c>
      <c r="G46" s="166">
        <f t="shared" si="140"/>
        <v>89.010868897594264</v>
      </c>
      <c r="H46" s="167" t="s">
        <v>737</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19"/>
      <c r="B47" s="621"/>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19"/>
      <c r="B48" s="621"/>
      <c r="C48" s="190" t="s">
        <v>339</v>
      </c>
      <c r="D48" s="3" t="str">
        <f t="shared" si="158"/>
        <v>m^2</v>
      </c>
      <c r="E48" s="151">
        <f t="shared" si="160"/>
        <v>128.17565121253574</v>
      </c>
      <c r="F48" s="15">
        <v>2</v>
      </c>
      <c r="G48" s="166">
        <f t="shared" si="140"/>
        <v>1.2817565121253574</v>
      </c>
      <c r="H48" s="167" t="s">
        <v>738</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19"/>
      <c r="B49" s="621"/>
      <c r="C49" s="188" t="s">
        <v>340</v>
      </c>
      <c r="D49" s="3" t="str">
        <f t="shared" si="158"/>
        <v>m^2</v>
      </c>
      <c r="E49" s="151">
        <f t="shared" si="160"/>
        <v>1538.1078145504289</v>
      </c>
      <c r="F49" s="15">
        <v>2</v>
      </c>
      <c r="G49" s="166">
        <f t="shared" si="140"/>
        <v>15.38107814550429</v>
      </c>
      <c r="H49" s="167" t="s">
        <v>738</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19"/>
      <c r="B50" s="621"/>
      <c r="C50" s="188" t="s">
        <v>341</v>
      </c>
      <c r="D50" s="3" t="str">
        <f t="shared" si="158"/>
        <v>m^2</v>
      </c>
      <c r="E50" s="151">
        <f t="shared" si="160"/>
        <v>18457.293774605147</v>
      </c>
      <c r="F50" s="15">
        <v>4</v>
      </c>
      <c r="G50" s="166">
        <f t="shared" si="140"/>
        <v>1.8457293774605148</v>
      </c>
      <c r="H50" s="167" t="s">
        <v>739</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19"/>
      <c r="B51" s="621"/>
      <c r="C51" s="212" t="s">
        <v>342</v>
      </c>
      <c r="D51" s="5" t="str">
        <f>D49</f>
        <v>m^2</v>
      </c>
      <c r="E51" s="249">
        <f>E50*12</f>
        <v>221487.52529526176</v>
      </c>
      <c r="F51" s="250">
        <v>4</v>
      </c>
      <c r="G51" s="251">
        <f t="shared" si="140"/>
        <v>22.148752529526178</v>
      </c>
      <c r="H51" s="252" t="s">
        <v>739</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19"/>
      <c r="B52" s="622"/>
      <c r="C52" s="189" t="s">
        <v>343</v>
      </c>
      <c r="D52" s="89" t="str">
        <f>D50</f>
        <v>m^2</v>
      </c>
      <c r="E52" s="175">
        <f>E51*12</f>
        <v>2657850.3035431411</v>
      </c>
      <c r="F52" s="176">
        <v>6</v>
      </c>
      <c r="G52" s="177">
        <f t="shared" si="140"/>
        <v>2.6578503035431411</v>
      </c>
      <c r="H52" s="178" t="s">
        <v>740</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19"/>
      <c r="B53" s="621" t="s">
        <v>700</v>
      </c>
      <c r="C53" s="165" t="s">
        <v>533</v>
      </c>
      <c r="D53" s="3" t="str">
        <f t="shared" ref="D53:D57" si="178">D54</f>
        <v>m^3</v>
      </c>
      <c r="E53" s="151">
        <f t="shared" ref="E53:E57" si="179">E54/12</f>
        <v>6.7655828299398827E-9</v>
      </c>
      <c r="F53" s="15">
        <v>-9</v>
      </c>
      <c r="G53" s="166">
        <f t="shared" ref="G53:G66" si="180">E53*POWER(10,-F53)</f>
        <v>6.7655828299398824</v>
      </c>
      <c r="H53" s="167" t="s">
        <v>704</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19"/>
      <c r="B54" s="621"/>
      <c r="C54" s="168" t="s">
        <v>534</v>
      </c>
      <c r="D54" s="3" t="str">
        <f t="shared" si="178"/>
        <v>m^3</v>
      </c>
      <c r="E54" s="151">
        <f t="shared" si="179"/>
        <v>8.1186993959278589E-8</v>
      </c>
      <c r="F54" s="15">
        <v>-9</v>
      </c>
      <c r="G54" s="166">
        <f t="shared" si="180"/>
        <v>81.186993959278595</v>
      </c>
      <c r="H54" s="167" t="s">
        <v>704</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19"/>
      <c r="B55" s="621"/>
      <c r="C55" s="169" t="s">
        <v>535</v>
      </c>
      <c r="D55" s="3" t="str">
        <f t="shared" si="178"/>
        <v>m^3</v>
      </c>
      <c r="E55" s="151">
        <f t="shared" si="179"/>
        <v>9.7424392751134312E-7</v>
      </c>
      <c r="F55" s="15">
        <v>-6</v>
      </c>
      <c r="G55" s="166">
        <f t="shared" si="180"/>
        <v>0.97424392751134314</v>
      </c>
      <c r="H55" s="167" t="s">
        <v>703</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19"/>
      <c r="B56" s="621"/>
      <c r="C56" s="170" t="s">
        <v>536</v>
      </c>
      <c r="D56" s="3" t="str">
        <f t="shared" si="178"/>
        <v>m^3</v>
      </c>
      <c r="E56" s="151">
        <f t="shared" si="179"/>
        <v>1.1690927130136118E-5</v>
      </c>
      <c r="F56" s="15">
        <v>-6</v>
      </c>
      <c r="G56" s="166">
        <f t="shared" si="180"/>
        <v>11.690927130136119</v>
      </c>
      <c r="H56" s="167" t="s">
        <v>703</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19"/>
      <c r="B57" s="621"/>
      <c r="C57" s="171" t="s">
        <v>537</v>
      </c>
      <c r="D57" s="3" t="str">
        <f t="shared" si="178"/>
        <v>m^3</v>
      </c>
      <c r="E57" s="151">
        <f t="shared" si="179"/>
        <v>1.4029112556163343E-4</v>
      </c>
      <c r="F57" s="15">
        <v>-6</v>
      </c>
      <c r="G57" s="166">
        <f t="shared" si="180"/>
        <v>140.29112556163344</v>
      </c>
      <c r="H57" s="167" t="s">
        <v>703</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19"/>
      <c r="B58" s="621"/>
      <c r="C58" s="172" t="s">
        <v>538</v>
      </c>
      <c r="D58" s="3" t="str">
        <f>D59</f>
        <v>m^3</v>
      </c>
      <c r="E58" s="151">
        <f>E59/12</f>
        <v>1.6834935067396011E-3</v>
      </c>
      <c r="F58" s="15">
        <v>-3</v>
      </c>
      <c r="G58" s="166">
        <f t="shared" si="180"/>
        <v>1.6834935067396011</v>
      </c>
      <c r="H58" s="167" t="s">
        <v>702</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19"/>
      <c r="B59" s="621"/>
      <c r="C59" s="173" t="s">
        <v>579</v>
      </c>
      <c r="D59" s="3" t="s">
        <v>589</v>
      </c>
      <c r="E59" s="151">
        <f>E3*E3*E3</f>
        <v>2.0201922080875213E-2</v>
      </c>
      <c r="F59" s="15">
        <v>-3</v>
      </c>
      <c r="G59" s="166">
        <f t="shared" si="180"/>
        <v>20.201922080875214</v>
      </c>
      <c r="H59" s="167" t="s">
        <v>702</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19"/>
      <c r="B60" s="621"/>
      <c r="C60" s="173" t="s">
        <v>337</v>
      </c>
      <c r="D60" s="3" t="str">
        <f t="shared" ref="D60:D64" si="198">D59</f>
        <v>m^3</v>
      </c>
      <c r="E60" s="151">
        <f>E59*12</f>
        <v>0.24242306497050256</v>
      </c>
      <c r="F60" s="15">
        <v>-3</v>
      </c>
      <c r="G60" s="166">
        <f t="shared" si="180"/>
        <v>242.42306497050257</v>
      </c>
      <c r="H60" s="167" t="s">
        <v>702</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19"/>
      <c r="B61" s="621"/>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19"/>
      <c r="B62" s="621"/>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19"/>
      <c r="B63" s="621"/>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19"/>
      <c r="B64" s="621"/>
      <c r="C64" s="188" t="s">
        <v>341</v>
      </c>
      <c r="D64" s="3" t="str">
        <f t="shared" si="198"/>
        <v>m^3</v>
      </c>
      <c r="E64" s="151">
        <f t="shared" si="200"/>
        <v>5026.8846752283407</v>
      </c>
      <c r="F64" s="15">
        <v>3</v>
      </c>
      <c r="G64" s="166">
        <f t="shared" si="180"/>
        <v>5.0268846752283407</v>
      </c>
      <c r="H64" s="167" t="s">
        <v>701</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19"/>
      <c r="B65" s="621"/>
      <c r="C65" s="212" t="s">
        <v>342</v>
      </c>
      <c r="D65" s="5" t="str">
        <f>D63</f>
        <v>m^3</v>
      </c>
      <c r="E65" s="249">
        <f>E64*12</f>
        <v>60322.616102740089</v>
      </c>
      <c r="F65" s="250">
        <v>3</v>
      </c>
      <c r="G65" s="251">
        <f t="shared" si="180"/>
        <v>60.322616102740092</v>
      </c>
      <c r="H65" s="252" t="s">
        <v>701</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19"/>
      <c r="B66" s="622"/>
      <c r="C66" s="189" t="s">
        <v>343</v>
      </c>
      <c r="D66" s="89" t="str">
        <f>D64</f>
        <v>m^3</v>
      </c>
      <c r="E66" s="175">
        <f>E65*12</f>
        <v>723871.39323288109</v>
      </c>
      <c r="F66" s="176">
        <v>3</v>
      </c>
      <c r="G66" s="177">
        <f t="shared" si="180"/>
        <v>723.87139323288113</v>
      </c>
      <c r="H66" s="178" t="s">
        <v>701</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19"/>
      <c r="B67" s="623"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19"/>
      <c r="B68" s="621"/>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19"/>
      <c r="B69" s="621"/>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19"/>
      <c r="B70" s="621"/>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19"/>
      <c r="B71" s="621"/>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19"/>
      <c r="B72" s="621"/>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19"/>
      <c r="B73" s="621"/>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19"/>
      <c r="B74" s="621"/>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19"/>
      <c r="B75" s="621"/>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19"/>
      <c r="B76" s="621"/>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19"/>
      <c r="B77" s="621"/>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19"/>
      <c r="B78" s="621"/>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19"/>
      <c r="B79" s="621"/>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19"/>
      <c r="B80" s="621"/>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19"/>
      <c r="B81" s="622"/>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19"/>
      <c r="B82" s="623"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19"/>
      <c r="B83" s="621"/>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19"/>
      <c r="B84" s="621"/>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19"/>
      <c r="B85" s="621"/>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19"/>
      <c r="B86" s="621"/>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19"/>
      <c r="B87" s="621"/>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19"/>
      <c r="B88" s="621"/>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19"/>
      <c r="B89" s="621"/>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19"/>
      <c r="B90" s="621"/>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19"/>
      <c r="B91" s="621"/>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19"/>
      <c r="B92" s="621"/>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19"/>
      <c r="B93" s="621"/>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19"/>
      <c r="B94" s="622"/>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19"/>
      <c r="B95" s="623"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19"/>
      <c r="B96" s="621"/>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19"/>
      <c r="B97" s="621"/>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19"/>
      <c r="B98" s="621"/>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19"/>
      <c r="B99" s="621"/>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19"/>
      <c r="B100" s="621"/>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19"/>
      <c r="B101" s="621"/>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19"/>
      <c r="B102" s="621"/>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19"/>
      <c r="B103" s="621"/>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19"/>
      <c r="B104" s="621"/>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19"/>
      <c r="B105" s="621"/>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19"/>
      <c r="B106" s="621"/>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19"/>
      <c r="B107" s="622"/>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19"/>
      <c r="B108" s="623"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19"/>
      <c r="B109" s="621"/>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19"/>
      <c r="B110" s="621"/>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19"/>
      <c r="B111" s="621"/>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19"/>
      <c r="B112" s="621"/>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19"/>
      <c r="B113" s="621"/>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19"/>
      <c r="B114" s="621"/>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19"/>
      <c r="B115" s="621"/>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19"/>
      <c r="B116" s="621"/>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19"/>
      <c r="B117" s="621"/>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19"/>
      <c r="B118" s="621"/>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19"/>
      <c r="B119" s="621"/>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19"/>
      <c r="B120" s="621"/>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19"/>
      <c r="B121" s="621"/>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19"/>
      <c r="B122" s="621"/>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19"/>
      <c r="B123" s="621"/>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19"/>
      <c r="B124" s="621"/>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19"/>
      <c r="B125" s="621"/>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19"/>
      <c r="B126" s="621"/>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19"/>
      <c r="B127" s="621"/>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19"/>
      <c r="B128" s="621"/>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19"/>
      <c r="B129" s="621"/>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19"/>
      <c r="B130" s="621"/>
      <c r="C130" s="202" t="s">
        <v>1063</v>
      </c>
      <c r="D130" s="207" t="s">
        <v>1064</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19"/>
      <c r="B131" s="621"/>
      <c r="C131" s="202" t="s">
        <v>1063</v>
      </c>
      <c r="D131" s="207" t="s">
        <v>1064</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19"/>
      <c r="B132" s="621"/>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19"/>
      <c r="B133" s="621"/>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20"/>
      <c r="B134" s="622"/>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A23:A134"/>
    <mergeCell ref="B24:B38"/>
    <mergeCell ref="B67:B81"/>
    <mergeCell ref="B82:B94"/>
    <mergeCell ref="B95:B107"/>
    <mergeCell ref="B53:B66"/>
    <mergeCell ref="B39:B52"/>
    <mergeCell ref="B108:B134"/>
    <mergeCell ref="B12:C12"/>
    <mergeCell ref="B13:C13"/>
    <mergeCell ref="B21:C21"/>
    <mergeCell ref="B1:C1"/>
    <mergeCell ref="B16:C16"/>
    <mergeCell ref="B17:C17"/>
    <mergeCell ref="B18:C18"/>
    <mergeCell ref="B19:C19"/>
    <mergeCell ref="B20:C20"/>
    <mergeCell ref="B5:C5"/>
    <mergeCell ref="B6:C6"/>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 x14ac:dyDescent="0.2"/>
  <cols>
    <col min="1" max="1" width="2.1796875" style="480" customWidth="1"/>
    <col min="2" max="3" width="3.6328125" style="480" customWidth="1"/>
    <col min="4" max="4" width="5.6328125" style="480" customWidth="1"/>
    <col min="5" max="5" width="2.6328125" style="480" customWidth="1"/>
    <col min="6" max="6" width="5.6328125" style="480" customWidth="1"/>
    <col min="7" max="7" width="10.6328125" style="480" customWidth="1"/>
    <col min="8" max="9" width="4.6328125" style="482" customWidth="1"/>
    <col min="10" max="10" width="41.81640625" style="481" customWidth="1"/>
    <col min="11" max="16384" width="9" style="480"/>
  </cols>
  <sheetData>
    <row r="1" spans="1:10" ht="3.75" customHeight="1" thickBot="1" x14ac:dyDescent="0.25">
      <c r="J1" s="483"/>
    </row>
    <row r="2" spans="1:10" ht="13" customHeight="1" x14ac:dyDescent="0.2">
      <c r="A2" s="489"/>
      <c r="B2" s="489"/>
      <c r="C2" s="489"/>
      <c r="D2" s="489"/>
      <c r="E2" s="489"/>
      <c r="F2" s="627">
        <v>2</v>
      </c>
      <c r="G2" s="488"/>
      <c r="H2" s="487"/>
      <c r="I2" s="487"/>
      <c r="J2" s="483"/>
    </row>
    <row r="3" spans="1:10" ht="13" customHeight="1" thickBot="1" x14ac:dyDescent="0.25">
      <c r="F3" s="628"/>
      <c r="G3" s="490"/>
      <c r="H3" s="633">
        <f>Gravitic!C123*2</f>
        <v>1.0047208954230518</v>
      </c>
      <c r="I3" s="633"/>
      <c r="J3" s="629" t="s">
        <v>1292</v>
      </c>
    </row>
    <row r="4" spans="1:10" ht="13" customHeight="1" x14ac:dyDescent="0.2">
      <c r="E4" s="489"/>
      <c r="F4" s="489"/>
      <c r="G4" s="489"/>
      <c r="H4" s="487"/>
      <c r="I4" s="487"/>
      <c r="J4" s="629"/>
    </row>
    <row r="5" spans="1:10" ht="13" customHeight="1" x14ac:dyDescent="0.2">
      <c r="D5" s="625" t="s">
        <v>1280</v>
      </c>
      <c r="F5" s="626">
        <v>3</v>
      </c>
      <c r="G5" s="490"/>
      <c r="J5" s="483"/>
    </row>
    <row r="6" spans="1:10" ht="13" customHeight="1" x14ac:dyDescent="0.2">
      <c r="D6" s="626"/>
      <c r="F6" s="626"/>
      <c r="G6" s="490"/>
      <c r="J6" s="483"/>
    </row>
    <row r="7" spans="1:10" ht="13" customHeight="1" thickBot="1" x14ac:dyDescent="0.25">
      <c r="E7" s="486"/>
      <c r="F7" s="486"/>
      <c r="G7" s="486"/>
      <c r="H7" s="633">
        <f>Gravitic!C122/2</f>
        <v>1.0049183780086677</v>
      </c>
      <c r="I7" s="633"/>
      <c r="J7" s="629" t="s">
        <v>1291</v>
      </c>
    </row>
    <row r="8" spans="1:10" ht="13" customHeight="1" x14ac:dyDescent="0.2">
      <c r="F8" s="627">
        <v>2</v>
      </c>
      <c r="G8" s="490"/>
      <c r="J8" s="629"/>
    </row>
    <row r="9" spans="1:10" ht="13" customHeight="1" thickBot="1" x14ac:dyDescent="0.25">
      <c r="C9" s="486"/>
      <c r="D9" s="486"/>
      <c r="E9" s="486"/>
      <c r="F9" s="628"/>
      <c r="G9" s="485"/>
      <c r="H9" s="484"/>
      <c r="I9" s="484"/>
      <c r="J9" s="483"/>
    </row>
    <row r="10" spans="1:10" ht="13" customHeight="1" x14ac:dyDescent="0.2">
      <c r="F10" s="490"/>
      <c r="G10" s="490"/>
      <c r="J10" s="483"/>
    </row>
    <row r="11" spans="1:10" ht="13" customHeight="1" x14ac:dyDescent="0.2">
      <c r="D11" s="625" t="s">
        <v>1290</v>
      </c>
      <c r="F11" s="490"/>
      <c r="G11" s="490"/>
      <c r="J11" s="483"/>
    </row>
    <row r="12" spans="1:10" ht="13" customHeight="1" x14ac:dyDescent="0.2">
      <c r="D12" s="626"/>
      <c r="F12" s="490"/>
      <c r="G12" s="490"/>
      <c r="J12" s="483"/>
    </row>
    <row r="13" spans="1:10" ht="13" customHeight="1" thickBot="1" x14ac:dyDescent="0.25">
      <c r="D13" s="490"/>
      <c r="H13" s="632">
        <f>H27*(365+31/128)/364.5</f>
        <v>1.0020358843755377</v>
      </c>
      <c r="I13" s="632"/>
      <c r="J13" s="629" t="s">
        <v>1289</v>
      </c>
    </row>
    <row r="14" spans="1:10" ht="13" customHeight="1" x14ac:dyDescent="0.2">
      <c r="C14" s="489"/>
      <c r="D14" s="489"/>
      <c r="E14" s="489"/>
      <c r="F14" s="489"/>
      <c r="G14" s="489"/>
      <c r="H14" s="487"/>
      <c r="I14" s="487"/>
      <c r="J14" s="629"/>
    </row>
    <row r="15" spans="1:10" ht="13" customHeight="1" x14ac:dyDescent="0.2">
      <c r="F15" s="625" t="s">
        <v>1285</v>
      </c>
      <c r="G15" s="491"/>
      <c r="J15" s="483"/>
    </row>
    <row r="16" spans="1:10" ht="13" customHeight="1" x14ac:dyDescent="0.2">
      <c r="F16" s="626"/>
      <c r="G16" s="490"/>
      <c r="J16" s="483"/>
    </row>
    <row r="17" spans="2:10" ht="13" customHeight="1" thickBot="1" x14ac:dyDescent="0.25">
      <c r="J17" s="629" t="s">
        <v>1288</v>
      </c>
    </row>
    <row r="18" spans="2:10" ht="13" customHeight="1" x14ac:dyDescent="0.2">
      <c r="E18" s="489"/>
      <c r="F18" s="489"/>
      <c r="G18" s="489"/>
      <c r="H18" s="487"/>
      <c r="I18" s="487"/>
      <c r="J18" s="629"/>
    </row>
    <row r="19" spans="2:10" ht="13" customHeight="1" x14ac:dyDescent="0.2">
      <c r="J19" s="483"/>
    </row>
    <row r="20" spans="2:10" ht="13" customHeight="1" x14ac:dyDescent="0.2">
      <c r="D20" s="624" t="s">
        <v>1287</v>
      </c>
      <c r="F20" s="624" t="s">
        <v>1298</v>
      </c>
      <c r="G20" s="624"/>
      <c r="H20" s="624"/>
      <c r="J20" s="483"/>
    </row>
    <row r="21" spans="2:10" ht="13" customHeight="1" thickBot="1" x14ac:dyDescent="0.25">
      <c r="C21" s="495"/>
      <c r="D21" s="624"/>
      <c r="F21" s="624"/>
      <c r="G21" s="624"/>
      <c r="H21" s="624"/>
      <c r="J21" s="629" t="s">
        <v>1286</v>
      </c>
    </row>
    <row r="22" spans="2:10" ht="13" customHeight="1" x14ac:dyDescent="0.2">
      <c r="C22" s="495"/>
      <c r="D22" s="492"/>
      <c r="F22" s="495"/>
      <c r="G22" s="495"/>
      <c r="H22" s="487"/>
      <c r="I22" s="627">
        <v>2</v>
      </c>
      <c r="J22" s="629"/>
    </row>
    <row r="23" spans="2:10" ht="13" customHeight="1" thickBot="1" x14ac:dyDescent="0.25">
      <c r="I23" s="628"/>
      <c r="J23" s="629" t="s">
        <v>1297</v>
      </c>
    </row>
    <row r="24" spans="2:10" ht="13" customHeight="1" x14ac:dyDescent="0.2">
      <c r="F24" s="489"/>
      <c r="G24" s="489"/>
      <c r="H24" s="487"/>
      <c r="I24" s="487"/>
      <c r="J24" s="629"/>
    </row>
    <row r="25" spans="2:10" ht="13" customHeight="1" x14ac:dyDescent="0.2">
      <c r="B25" s="624" t="s">
        <v>1296</v>
      </c>
      <c r="C25" s="624"/>
      <c r="F25" s="625" t="s">
        <v>1285</v>
      </c>
      <c r="G25" s="491"/>
      <c r="J25" s="483"/>
    </row>
    <row r="26" spans="2:10" ht="13" customHeight="1" x14ac:dyDescent="0.2">
      <c r="B26" s="624"/>
      <c r="C26" s="624"/>
      <c r="F26" s="626"/>
      <c r="G26" s="490"/>
      <c r="J26" s="630" t="s">
        <v>1284</v>
      </c>
    </row>
    <row r="27" spans="2:10" ht="13" customHeight="1" thickBot="1" x14ac:dyDescent="0.25">
      <c r="C27" s="486"/>
      <c r="D27" s="486"/>
      <c r="E27" s="486"/>
      <c r="F27" s="486"/>
      <c r="G27" s="486"/>
      <c r="H27" s="632">
        <f>50/128/Clock_by_Rydberg!F4</f>
        <v>0.99999970527742921</v>
      </c>
      <c r="I27" s="632"/>
      <c r="J27" s="630"/>
    </row>
    <row r="28" spans="2:10" ht="13" customHeight="1" x14ac:dyDescent="0.2">
      <c r="J28" s="630"/>
    </row>
    <row r="29" spans="2:10" ht="13" customHeight="1" x14ac:dyDescent="0.2">
      <c r="J29" s="630"/>
    </row>
    <row r="30" spans="2:10" ht="13" customHeight="1" x14ac:dyDescent="0.2">
      <c r="F30" s="625" t="s">
        <v>1343</v>
      </c>
      <c r="J30" s="483"/>
    </row>
    <row r="31" spans="2:10" ht="13" customHeight="1" x14ac:dyDescent="0.2">
      <c r="F31" s="626"/>
      <c r="J31" s="493"/>
    </row>
    <row r="32" spans="2:10" ht="13" customHeight="1" x14ac:dyDescent="0.2">
      <c r="D32" s="625" t="s">
        <v>1283</v>
      </c>
      <c r="J32" s="630" t="s">
        <v>1293</v>
      </c>
    </row>
    <row r="33" spans="3:10" ht="13" customHeight="1" thickBot="1" x14ac:dyDescent="0.25">
      <c r="D33" s="626"/>
      <c r="H33" s="632">
        <f>1/Clock_by_Rydberg!K34</f>
        <v>0.99908455793784623</v>
      </c>
      <c r="I33" s="632"/>
      <c r="J33" s="630"/>
    </row>
    <row r="34" spans="3:10" ht="13" customHeight="1" x14ac:dyDescent="0.2">
      <c r="D34" s="490"/>
      <c r="E34" s="489"/>
      <c r="F34" s="489"/>
      <c r="G34" s="489"/>
      <c r="H34" s="487"/>
      <c r="I34" s="487"/>
      <c r="J34" s="630"/>
    </row>
    <row r="35" spans="3:10" ht="13" customHeight="1" x14ac:dyDescent="0.2">
      <c r="D35" s="490"/>
      <c r="F35" s="494" t="s">
        <v>1294</v>
      </c>
      <c r="J35" s="630"/>
    </row>
    <row r="36" spans="3:10" ht="13" customHeight="1" x14ac:dyDescent="0.2">
      <c r="D36" s="490"/>
      <c r="F36" s="494" t="s">
        <v>1295</v>
      </c>
      <c r="J36" s="630" t="s">
        <v>1352</v>
      </c>
    </row>
    <row r="37" spans="3:10" ht="13" customHeight="1" thickBot="1" x14ac:dyDescent="0.25">
      <c r="H37" s="632">
        <f>Clock_by_Rydberg!K40</f>
        <v>1.002539400859449</v>
      </c>
      <c r="I37" s="632"/>
      <c r="J37" s="630"/>
    </row>
    <row r="38" spans="3:10" ht="13" customHeight="1" x14ac:dyDescent="0.2">
      <c r="C38" s="489"/>
      <c r="D38" s="489"/>
      <c r="E38" s="489"/>
      <c r="F38" s="489"/>
      <c r="G38" s="489"/>
      <c r="H38" s="487"/>
      <c r="I38" s="487"/>
      <c r="J38" s="630"/>
    </row>
    <row r="39" spans="3:10" ht="13" customHeight="1" x14ac:dyDescent="0.2">
      <c r="J39" s="630"/>
    </row>
    <row r="40" spans="3:10" ht="13" customHeight="1" x14ac:dyDescent="0.2">
      <c r="D40" s="625" t="s">
        <v>1282</v>
      </c>
      <c r="J40" s="493"/>
    </row>
    <row r="41" spans="3:10" ht="13" customHeight="1" x14ac:dyDescent="0.2">
      <c r="D41" s="626"/>
      <c r="J41" s="483"/>
    </row>
    <row r="42" spans="3:10" ht="13" customHeight="1" x14ac:dyDescent="0.2">
      <c r="D42" s="490"/>
      <c r="J42" s="483"/>
    </row>
    <row r="43" spans="3:10" ht="13" customHeight="1" thickBot="1" x14ac:dyDescent="0.25">
      <c r="C43" s="486"/>
      <c r="D43" s="486"/>
      <c r="E43" s="486"/>
      <c r="F43" s="486"/>
      <c r="G43" s="486"/>
      <c r="H43" s="631">
        <f>Clock_by_Rydberg!K46</f>
        <v>1.0000728573540505</v>
      </c>
      <c r="I43" s="631"/>
      <c r="J43" s="629" t="s">
        <v>1281</v>
      </c>
    </row>
    <row r="44" spans="3:10" ht="13" customHeight="1" x14ac:dyDescent="0.2">
      <c r="J44" s="629"/>
    </row>
    <row r="45" spans="3:10" ht="13" customHeight="1" x14ac:dyDescent="0.2">
      <c r="F45" s="625"/>
      <c r="G45" s="491"/>
      <c r="J45" s="483"/>
    </row>
    <row r="46" spans="3:10" ht="13" customHeight="1" x14ac:dyDescent="0.2">
      <c r="D46" s="625" t="s">
        <v>1280</v>
      </c>
      <c r="F46" s="626"/>
      <c r="G46" s="490"/>
      <c r="J46" s="483"/>
    </row>
    <row r="47" spans="3:10" ht="13" customHeight="1" thickBot="1" x14ac:dyDescent="0.25">
      <c r="D47" s="626"/>
      <c r="H47" s="631">
        <f>Clock_by_Rydberg!K47/2</f>
        <v>1.0142589965175368</v>
      </c>
      <c r="I47" s="631"/>
      <c r="J47" s="629" t="s">
        <v>1340</v>
      </c>
    </row>
    <row r="48" spans="3:10" ht="13" customHeight="1" x14ac:dyDescent="0.2">
      <c r="E48" s="489"/>
      <c r="F48" s="627">
        <v>2</v>
      </c>
      <c r="G48" s="488"/>
      <c r="H48" s="487"/>
      <c r="I48" s="487"/>
      <c r="J48" s="629"/>
    </row>
    <row r="49" spans="1:10" ht="13" customHeight="1" thickBot="1" x14ac:dyDescent="0.25">
      <c r="A49" s="486"/>
      <c r="B49" s="486"/>
      <c r="C49" s="486"/>
      <c r="D49" s="486"/>
      <c r="E49" s="486"/>
      <c r="F49" s="628"/>
      <c r="G49" s="485"/>
      <c r="H49" s="484"/>
      <c r="I49" s="484"/>
      <c r="J49" s="483"/>
    </row>
    <row r="50" spans="1:10" ht="13" customHeight="1" x14ac:dyDescent="0.2"/>
  </sheetData>
  <mergeCells count="36">
    <mergeCell ref="H3:I3"/>
    <mergeCell ref="F2:F3"/>
    <mergeCell ref="F5:F6"/>
    <mergeCell ref="F8:F9"/>
    <mergeCell ref="F15:F16"/>
    <mergeCell ref="H7:I7"/>
    <mergeCell ref="J3:J4"/>
    <mergeCell ref="J7:J8"/>
    <mergeCell ref="J13:J14"/>
    <mergeCell ref="J17:J18"/>
    <mergeCell ref="J21:J22"/>
    <mergeCell ref="J32:J35"/>
    <mergeCell ref="H33:I33"/>
    <mergeCell ref="D11:D12"/>
    <mergeCell ref="D5:D6"/>
    <mergeCell ref="J26:J29"/>
    <mergeCell ref="H27:I27"/>
    <mergeCell ref="H13:I13"/>
    <mergeCell ref="I22:I23"/>
    <mergeCell ref="J23:J24"/>
    <mergeCell ref="D20:D21"/>
    <mergeCell ref="F20:H21"/>
    <mergeCell ref="F48:F49"/>
    <mergeCell ref="J43:J44"/>
    <mergeCell ref="J47:J48"/>
    <mergeCell ref="F45:F46"/>
    <mergeCell ref="J36:J39"/>
    <mergeCell ref="H47:I47"/>
    <mergeCell ref="H43:I43"/>
    <mergeCell ref="H37:I37"/>
    <mergeCell ref="B25:C26"/>
    <mergeCell ref="F25:F26"/>
    <mergeCell ref="D46:D47"/>
    <mergeCell ref="D40:D41"/>
    <mergeCell ref="D32:D33"/>
    <mergeCell ref="F30:F31"/>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50800</xdr:rowOff>
              </from>
              <to>
                <xdr:col>5</xdr:col>
                <xdr:colOff>393700</xdr:colOff>
                <xdr:row>46</xdr:row>
                <xdr:rowOff>25400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1.5" x14ac:dyDescent="0.2"/>
  <cols>
    <col min="1" max="1" width="9" style="14"/>
    <col min="2" max="4" width="11.6328125" style="14" customWidth="1"/>
    <col min="5" max="5" width="9" style="54"/>
    <col min="6" max="6" width="13.36328125" style="14" customWidth="1"/>
    <col min="7" max="7" width="3.453125" style="14" customWidth="1"/>
    <col min="8" max="8" width="13.81640625" style="14" customWidth="1"/>
    <col min="9" max="9" width="13.1796875" style="14"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10" x14ac:dyDescent="0.2">
      <c r="A1" s="54" t="s">
        <v>346</v>
      </c>
      <c r="B1" s="54" t="s">
        <v>347</v>
      </c>
      <c r="C1" s="14" t="s">
        <v>525</v>
      </c>
      <c r="D1" s="14" t="s">
        <v>526</v>
      </c>
      <c r="F1" s="138"/>
      <c r="G1" s="634" t="s">
        <v>1350</v>
      </c>
      <c r="H1" s="634"/>
      <c r="I1" s="634"/>
      <c r="J1" s="634"/>
    </row>
    <row r="2" spans="1:10" x14ac:dyDescent="0.2">
      <c r="A2" s="54"/>
      <c r="B2" s="138">
        <f>B3/64</f>
        <v>1</v>
      </c>
      <c r="C2" s="138">
        <f t="shared" ref="C2:D2" si="0">C3/64</f>
        <v>0.99796795790464377</v>
      </c>
      <c r="D2" s="138">
        <f t="shared" si="0"/>
        <v>0.99796825202841266</v>
      </c>
      <c r="F2" s="138"/>
      <c r="G2" s="14">
        <v>1</v>
      </c>
      <c r="H2" s="14" t="s">
        <v>1777</v>
      </c>
      <c r="I2" s="14" t="s">
        <v>1349</v>
      </c>
    </row>
    <row r="3" spans="1:10" x14ac:dyDescent="0.2">
      <c r="A3" s="138">
        <v>1</v>
      </c>
      <c r="B3" s="139">
        <v>64</v>
      </c>
      <c r="C3" s="14">
        <f>B3/(365+31/128)*364.5</f>
        <v>63.869949305897201</v>
      </c>
      <c r="D3" s="14">
        <f>C3*Clock_by_Rydberg!F4/Clock!F4</f>
        <v>63.86996812981841</v>
      </c>
      <c r="F3" s="138"/>
    </row>
    <row r="4" spans="1:10" x14ac:dyDescent="0.2">
      <c r="A4" s="138" t="s">
        <v>337</v>
      </c>
      <c r="B4" s="139">
        <f>B3*12</f>
        <v>768</v>
      </c>
      <c r="C4" s="139">
        <f t="shared" ref="C4:C12" si="1">C3*12</f>
        <v>766.43939167076644</v>
      </c>
      <c r="D4" s="139">
        <f t="shared" ref="D4:D12" si="2">D3*12</f>
        <v>766.43961755782095</v>
      </c>
      <c r="F4" s="138"/>
    </row>
    <row r="5" spans="1:10" x14ac:dyDescent="0.2">
      <c r="A5" s="138" t="s">
        <v>338</v>
      </c>
      <c r="B5" s="139">
        <f t="shared" ref="B5:B12" si="3">B4*12</f>
        <v>9216</v>
      </c>
      <c r="C5" s="139">
        <f t="shared" si="1"/>
        <v>9197.2727000491977</v>
      </c>
      <c r="D5" s="139">
        <f t="shared" si="2"/>
        <v>9197.2754106938519</v>
      </c>
      <c r="F5" s="138"/>
    </row>
    <row r="6" spans="1:10" x14ac:dyDescent="0.2">
      <c r="A6" s="138"/>
      <c r="B6" s="139">
        <f>B3/64*POWER(12,4)</f>
        <v>20736</v>
      </c>
      <c r="C6" s="139">
        <f t="shared" ref="C6:D6" si="4">C3/64*POWER(12,4)</f>
        <v>20693.863575110692</v>
      </c>
      <c r="D6" s="139">
        <f t="shared" si="4"/>
        <v>20693.869674061167</v>
      </c>
      <c r="F6" s="138"/>
      <c r="G6" s="14">
        <v>1</v>
      </c>
      <c r="H6" s="14" t="s">
        <v>1742</v>
      </c>
      <c r="I6" s="14" t="s">
        <v>1435</v>
      </c>
    </row>
    <row r="7" spans="1:10" x14ac:dyDescent="0.2">
      <c r="A7" s="138" t="s">
        <v>339</v>
      </c>
      <c r="B7" s="139">
        <f>B5*12</f>
        <v>110592</v>
      </c>
      <c r="C7" s="139">
        <f>C5*12</f>
        <v>110367.27240059037</v>
      </c>
      <c r="D7" s="139">
        <f>D5*12</f>
        <v>110367.30492832622</v>
      </c>
      <c r="F7" s="138"/>
    </row>
    <row r="8" spans="1:10" x14ac:dyDescent="0.2">
      <c r="A8" s="138" t="s">
        <v>340</v>
      </c>
      <c r="B8" s="139">
        <f t="shared" si="3"/>
        <v>1327104</v>
      </c>
      <c r="C8" s="139">
        <f t="shared" si="1"/>
        <v>1324407.2688070845</v>
      </c>
      <c r="D8" s="139">
        <f t="shared" si="2"/>
        <v>1324407.6591399147</v>
      </c>
      <c r="F8" s="138"/>
    </row>
    <row r="9" spans="1:10" x14ac:dyDescent="0.2">
      <c r="A9" s="138"/>
      <c r="B9" s="139">
        <f>B8*2</f>
        <v>2654208</v>
      </c>
      <c r="C9" s="139">
        <f>C8*2</f>
        <v>2648814.5376141691</v>
      </c>
      <c r="D9" s="139">
        <f>D8*2</f>
        <v>2648815.3182798293</v>
      </c>
      <c r="F9" s="138"/>
      <c r="G9" s="14">
        <v>1</v>
      </c>
      <c r="H9" s="14" t="s">
        <v>1741</v>
      </c>
      <c r="I9" s="14" t="s">
        <v>1780</v>
      </c>
    </row>
    <row r="10" spans="1:10" x14ac:dyDescent="0.2">
      <c r="A10" s="138" t="s">
        <v>341</v>
      </c>
      <c r="B10" s="139">
        <f>B8*12</f>
        <v>15925248</v>
      </c>
      <c r="C10" s="139">
        <f>C8*12</f>
        <v>15892887.225685015</v>
      </c>
      <c r="D10" s="139">
        <f>D8*12</f>
        <v>15892891.909678977</v>
      </c>
      <c r="F10" s="138"/>
    </row>
    <row r="11" spans="1:10" x14ac:dyDescent="0.2">
      <c r="A11" s="138" t="s">
        <v>342</v>
      </c>
      <c r="B11" s="139">
        <f t="shared" si="3"/>
        <v>191102976</v>
      </c>
      <c r="C11" s="139">
        <f t="shared" si="1"/>
        <v>190714646.70822018</v>
      </c>
      <c r="D11" s="139">
        <f t="shared" si="2"/>
        <v>190714702.91614771</v>
      </c>
      <c r="F11" s="138"/>
      <c r="G11" s="14">
        <v>1</v>
      </c>
      <c r="H11" s="14" t="s">
        <v>1348</v>
      </c>
      <c r="I11" s="14" t="s">
        <v>1781</v>
      </c>
    </row>
    <row r="12" spans="1:10" x14ac:dyDescent="0.2">
      <c r="A12" s="138" t="s">
        <v>343</v>
      </c>
      <c r="B12" s="139">
        <f t="shared" si="3"/>
        <v>2293235712</v>
      </c>
      <c r="C12" s="139">
        <f t="shared" si="1"/>
        <v>2288575760.498642</v>
      </c>
      <c r="D12" s="139">
        <f t="shared" si="2"/>
        <v>2288576434.9937725</v>
      </c>
      <c r="F12" s="138"/>
      <c r="G12" s="14">
        <v>12</v>
      </c>
      <c r="H12" s="14" t="s">
        <v>1346</v>
      </c>
      <c r="I12" s="14" t="s">
        <v>1782</v>
      </c>
    </row>
    <row r="13" spans="1:10" x14ac:dyDescent="0.2">
      <c r="A13" s="138" t="s">
        <v>348</v>
      </c>
      <c r="B13" s="139">
        <f>B12*2</f>
        <v>4586471424</v>
      </c>
      <c r="C13" s="139">
        <f t="shared" ref="C13:D13" si="5">C12*2</f>
        <v>4577151520.9972839</v>
      </c>
      <c r="D13" s="139">
        <f t="shared" si="5"/>
        <v>4577152869.987545</v>
      </c>
      <c r="E13" s="209" t="s">
        <v>349</v>
      </c>
      <c r="G13" s="14">
        <v>24</v>
      </c>
      <c r="H13" s="209" t="s">
        <v>1347</v>
      </c>
      <c r="I13" s="14" t="s">
        <v>1783</v>
      </c>
    </row>
    <row r="14" spans="1:10" x14ac:dyDescent="0.2">
      <c r="A14" s="138" t="s">
        <v>345</v>
      </c>
      <c r="B14" s="139">
        <f>B12*6</f>
        <v>13759414272</v>
      </c>
      <c r="C14" s="139">
        <f t="shared" ref="C14:D14" si="6">C12*6</f>
        <v>13731454562.991852</v>
      </c>
      <c r="D14" s="139">
        <f t="shared" si="6"/>
        <v>13731458609.962635</v>
      </c>
      <c r="E14" s="209" t="s">
        <v>350</v>
      </c>
      <c r="H14" s="138" t="s">
        <v>528</v>
      </c>
    </row>
    <row r="15" spans="1:10" x14ac:dyDescent="0.2">
      <c r="A15" s="138" t="s">
        <v>344</v>
      </c>
      <c r="B15" s="139">
        <f>B12*12</f>
        <v>27518828544</v>
      </c>
      <c r="C15" s="139">
        <f t="shared" ref="C15:D15" si="7">C12*12</f>
        <v>27462909125.983704</v>
      </c>
      <c r="D15" s="139">
        <f t="shared" si="7"/>
        <v>27462917219.92527</v>
      </c>
      <c r="F15" s="138"/>
      <c r="H15" s="139">
        <f>B3</f>
        <v>64</v>
      </c>
      <c r="I15" s="14" t="s">
        <v>529</v>
      </c>
    </row>
    <row r="16" spans="1:10" ht="12" thickBot="1" x14ac:dyDescent="0.25">
      <c r="A16" s="138"/>
      <c r="B16" s="139"/>
      <c r="F16" s="138"/>
    </row>
    <row r="17" spans="1:37" x14ac:dyDescent="0.2">
      <c r="A17" s="90" t="s">
        <v>519</v>
      </c>
      <c r="B17" s="17" t="s">
        <v>520</v>
      </c>
      <c r="C17" s="17" t="s">
        <v>521</v>
      </c>
      <c r="D17" s="17" t="s">
        <v>522</v>
      </c>
      <c r="E17" s="17" t="s">
        <v>523</v>
      </c>
      <c r="F17" s="17" t="s">
        <v>639</v>
      </c>
      <c r="G17" s="18" t="s">
        <v>54</v>
      </c>
      <c r="H17" s="17" t="s">
        <v>527</v>
      </c>
      <c r="I17" s="17" t="s">
        <v>45</v>
      </c>
      <c r="J17" s="579" t="s">
        <v>80</v>
      </c>
      <c r="K17" s="617"/>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x14ac:dyDescent="0.2">
      <c r="A18" s="646" t="s">
        <v>351</v>
      </c>
      <c r="B18" s="644"/>
      <c r="C18" s="644"/>
      <c r="D18" s="644"/>
      <c r="E18" s="645"/>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35" t="s">
        <v>352</v>
      </c>
      <c r="B19" s="643" t="s">
        <v>353</v>
      </c>
      <c r="C19" s="644"/>
      <c r="D19" s="644"/>
      <c r="E19" s="645"/>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36"/>
      <c r="B20" s="643" t="s">
        <v>354</v>
      </c>
      <c r="C20" s="644"/>
      <c r="D20" s="644"/>
      <c r="E20" s="645"/>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36"/>
      <c r="B21" s="643" t="s">
        <v>355</v>
      </c>
      <c r="C21" s="644"/>
      <c r="D21" s="644"/>
      <c r="E21" s="645"/>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37"/>
      <c r="B22" s="643" t="s">
        <v>356</v>
      </c>
      <c r="C22" s="644"/>
      <c r="D22" s="644"/>
      <c r="E22" s="645"/>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35" t="s">
        <v>357</v>
      </c>
      <c r="B23" s="639" t="s">
        <v>358</v>
      </c>
      <c r="C23" s="643" t="s">
        <v>359</v>
      </c>
      <c r="D23" s="644"/>
      <c r="E23" s="645"/>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36"/>
      <c r="B24" s="640"/>
      <c r="C24" s="643" t="s">
        <v>360</v>
      </c>
      <c r="D24" s="644"/>
      <c r="E24" s="645"/>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36"/>
      <c r="B25" s="640"/>
      <c r="C25" s="643" t="s">
        <v>361</v>
      </c>
      <c r="D25" s="644"/>
      <c r="E25" s="645"/>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36"/>
      <c r="B26" s="641"/>
      <c r="C26" s="643" t="s">
        <v>362</v>
      </c>
      <c r="D26" s="644"/>
      <c r="E26" s="645"/>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36"/>
      <c r="B27" s="639" t="s">
        <v>363</v>
      </c>
      <c r="C27" s="643" t="s">
        <v>364</v>
      </c>
      <c r="D27" s="644"/>
      <c r="E27" s="645"/>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36"/>
      <c r="B28" s="640"/>
      <c r="C28" s="643" t="s">
        <v>365</v>
      </c>
      <c r="D28" s="644"/>
      <c r="E28" s="645"/>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36"/>
      <c r="B29" s="641"/>
      <c r="C29" s="643" t="s">
        <v>366</v>
      </c>
      <c r="D29" s="644"/>
      <c r="E29" s="645"/>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36"/>
      <c r="B30" s="639" t="s">
        <v>367</v>
      </c>
      <c r="C30" s="643" t="s">
        <v>368</v>
      </c>
      <c r="D30" s="644"/>
      <c r="E30" s="645"/>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36"/>
      <c r="B31" s="640"/>
      <c r="C31" s="643" t="s">
        <v>370</v>
      </c>
      <c r="D31" s="644"/>
      <c r="E31" s="645"/>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37"/>
      <c r="B32" s="641"/>
      <c r="C32" s="643" t="s">
        <v>369</v>
      </c>
      <c r="D32" s="644"/>
      <c r="E32" s="645"/>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35" t="s">
        <v>371</v>
      </c>
      <c r="B33" s="639" t="s">
        <v>372</v>
      </c>
      <c r="C33" s="639" t="s">
        <v>373</v>
      </c>
      <c r="D33" s="639"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36"/>
      <c r="B34" s="640"/>
      <c r="C34" s="640"/>
      <c r="D34" s="641"/>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36"/>
      <c r="B35" s="640"/>
      <c r="C35" s="640"/>
      <c r="D35" s="639"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36"/>
      <c r="B36" s="640"/>
      <c r="C36" s="640"/>
      <c r="D36" s="641"/>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36"/>
      <c r="B37" s="640"/>
      <c r="C37" s="640"/>
      <c r="D37" s="639"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36"/>
      <c r="B38" s="640"/>
      <c r="C38" s="640"/>
      <c r="D38" s="640"/>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36"/>
      <c r="B39" s="640"/>
      <c r="C39" s="640"/>
      <c r="D39" s="641"/>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36"/>
      <c r="B40" s="640"/>
      <c r="C40" s="640"/>
      <c r="D40" s="639"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36"/>
      <c r="B41" s="640"/>
      <c r="C41" s="640"/>
      <c r="D41" s="640"/>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36"/>
      <c r="B42" s="640"/>
      <c r="C42" s="641"/>
      <c r="D42" s="641"/>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36"/>
      <c r="B43" s="640"/>
      <c r="C43" s="639" t="s">
        <v>388</v>
      </c>
      <c r="D43" s="639"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36"/>
      <c r="B44" s="640"/>
      <c r="C44" s="640"/>
      <c r="D44" s="641"/>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36"/>
      <c r="B45" s="640"/>
      <c r="C45" s="640"/>
      <c r="D45" s="639"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36"/>
      <c r="B46" s="640"/>
      <c r="C46" s="640"/>
      <c r="D46" s="641"/>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36"/>
      <c r="B47" s="640"/>
      <c r="C47" s="640"/>
      <c r="D47" s="639"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36"/>
      <c r="B48" s="640"/>
      <c r="C48" s="640"/>
      <c r="D48" s="640"/>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36"/>
      <c r="B49" s="640"/>
      <c r="C49" s="641"/>
      <c r="D49" s="641"/>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36"/>
      <c r="B50" s="640"/>
      <c r="C50" s="639" t="s">
        <v>399</v>
      </c>
      <c r="D50" s="639"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36"/>
      <c r="B51" s="640"/>
      <c r="C51" s="640"/>
      <c r="D51" s="640"/>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36"/>
      <c r="B52" s="640"/>
      <c r="C52" s="640"/>
      <c r="D52" s="641"/>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36"/>
      <c r="B53" s="640"/>
      <c r="C53" s="640"/>
      <c r="D53" s="639"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36"/>
      <c r="B54" s="640"/>
      <c r="C54" s="640"/>
      <c r="D54" s="641"/>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36"/>
      <c r="B55" s="640"/>
      <c r="C55" s="640"/>
      <c r="D55" s="639"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36"/>
      <c r="B56" s="640"/>
      <c r="C56" s="640"/>
      <c r="D56" s="641"/>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36"/>
      <c r="B57" s="640"/>
      <c r="C57" s="641"/>
      <c r="D57" s="643" t="s">
        <v>410</v>
      </c>
      <c r="E57" s="645"/>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36"/>
      <c r="B58" s="640"/>
      <c r="C58" s="639" t="s">
        <v>411</v>
      </c>
      <c r="D58" s="639"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36"/>
      <c r="B59" s="640"/>
      <c r="C59" s="640"/>
      <c r="D59" s="640"/>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36"/>
      <c r="B60" s="640"/>
      <c r="C60" s="640"/>
      <c r="D60" s="641"/>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36"/>
      <c r="B61" s="640"/>
      <c r="C61" s="640"/>
      <c r="D61" s="639"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36"/>
      <c r="B62" s="640"/>
      <c r="C62" s="640"/>
      <c r="D62" s="641"/>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36"/>
      <c r="B63" s="640"/>
      <c r="C63" s="640"/>
      <c r="D63" s="639"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36"/>
      <c r="B64" s="640"/>
      <c r="C64" s="641"/>
      <c r="D64" s="641"/>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36"/>
      <c r="B65" s="640"/>
      <c r="C65" s="639" t="s">
        <v>422</v>
      </c>
      <c r="D65" s="639"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36"/>
      <c r="B66" s="640"/>
      <c r="C66" s="640"/>
      <c r="D66" s="640"/>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36"/>
      <c r="B67" s="640"/>
      <c r="C67" s="640"/>
      <c r="D67" s="641"/>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36"/>
      <c r="B68" s="640"/>
      <c r="C68" s="640"/>
      <c r="D68" s="639"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36"/>
      <c r="B69" s="640"/>
      <c r="C69" s="640"/>
      <c r="D69" s="640"/>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36"/>
      <c r="B70" s="640"/>
      <c r="C70" s="640"/>
      <c r="D70" s="640"/>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36"/>
      <c r="B71" s="640"/>
      <c r="C71" s="641"/>
      <c r="D71" s="641"/>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36"/>
      <c r="B72" s="640"/>
      <c r="C72" s="639" t="s">
        <v>432</v>
      </c>
      <c r="D72" s="639"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36"/>
      <c r="B73" s="640"/>
      <c r="C73" s="640"/>
      <c r="D73" s="640"/>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36"/>
      <c r="B74" s="640"/>
      <c r="C74" s="640"/>
      <c r="D74" s="640"/>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36"/>
      <c r="B75" s="640"/>
      <c r="C75" s="640"/>
      <c r="D75" s="641"/>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36"/>
      <c r="B76" s="640"/>
      <c r="C76" s="640"/>
      <c r="D76" s="639"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36"/>
      <c r="B77" s="640"/>
      <c r="C77" s="640"/>
      <c r="D77" s="640"/>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36"/>
      <c r="B78" s="640"/>
      <c r="C78" s="640"/>
      <c r="D78" s="641"/>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36"/>
      <c r="B79" s="640"/>
      <c r="C79" s="640"/>
      <c r="D79" s="639"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36"/>
      <c r="B80" s="641"/>
      <c r="C80" s="641"/>
      <c r="D80" s="641"/>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36"/>
      <c r="B81" s="639" t="s">
        <v>445</v>
      </c>
      <c r="C81" s="639" t="s">
        <v>446</v>
      </c>
      <c r="D81" s="639"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36"/>
      <c r="B82" s="640"/>
      <c r="C82" s="640"/>
      <c r="D82" s="641"/>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36"/>
      <c r="B83" s="640"/>
      <c r="C83" s="640"/>
      <c r="D83" s="639"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36"/>
      <c r="B84" s="640"/>
      <c r="C84" s="640"/>
      <c r="D84" s="641"/>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36"/>
      <c r="B85" s="640"/>
      <c r="C85" s="640"/>
      <c r="D85" s="639"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36"/>
      <c r="B86" s="640"/>
      <c r="C86" s="640"/>
      <c r="D86" s="640"/>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36"/>
      <c r="B87" s="640"/>
      <c r="C87" s="641"/>
      <c r="D87" s="641"/>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36"/>
      <c r="B88" s="640"/>
      <c r="C88" s="639" t="s">
        <v>457</v>
      </c>
      <c r="D88" s="639"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36"/>
      <c r="B89" s="640"/>
      <c r="C89" s="640"/>
      <c r="D89" s="640"/>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36"/>
      <c r="B90" s="640"/>
      <c r="C90" s="640"/>
      <c r="D90" s="640"/>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36"/>
      <c r="B91" s="640"/>
      <c r="C91" s="640"/>
      <c r="D91" s="641"/>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36"/>
      <c r="B92" s="640"/>
      <c r="C92" s="640"/>
      <c r="D92" s="639"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36"/>
      <c r="B93" s="640"/>
      <c r="C93" s="640"/>
      <c r="D93" s="640"/>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36"/>
      <c r="B94" s="640"/>
      <c r="C94" s="640"/>
      <c r="D94" s="640"/>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36"/>
      <c r="B95" s="640"/>
      <c r="C95" s="640"/>
      <c r="D95" s="641"/>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36"/>
      <c r="B96" s="640"/>
      <c r="C96" s="640"/>
      <c r="D96" s="639"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36"/>
      <c r="B97" s="640"/>
      <c r="C97" s="640"/>
      <c r="D97" s="640"/>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36"/>
      <c r="B98" s="640"/>
      <c r="C98" s="641"/>
      <c r="D98" s="641"/>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36"/>
      <c r="B99" s="640"/>
      <c r="C99" s="639" t="s">
        <v>472</v>
      </c>
      <c r="D99" s="639"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36"/>
      <c r="B100" s="640"/>
      <c r="C100" s="640"/>
      <c r="D100" s="640"/>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36"/>
      <c r="B101" s="640"/>
      <c r="C101" s="640"/>
      <c r="D101" s="640"/>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36"/>
      <c r="B102" s="640"/>
      <c r="C102" s="640"/>
      <c r="D102" s="640"/>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36"/>
      <c r="B103" s="640"/>
      <c r="C103" s="640"/>
      <c r="D103" s="640"/>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36"/>
      <c r="B104" s="640"/>
      <c r="C104" s="640"/>
      <c r="D104" s="641"/>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36"/>
      <c r="B105" s="640"/>
      <c r="C105" s="640"/>
      <c r="D105" s="639"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36"/>
      <c r="B106" s="640"/>
      <c r="C106" s="640"/>
      <c r="D106" s="640"/>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36"/>
      <c r="B107" s="640"/>
      <c r="C107" s="640"/>
      <c r="D107" s="640"/>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36"/>
      <c r="B108" s="640"/>
      <c r="C108" s="640"/>
      <c r="D108" s="640"/>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36"/>
      <c r="B109" s="640"/>
      <c r="C109" s="640"/>
      <c r="D109" s="640"/>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36"/>
      <c r="B110" s="641"/>
      <c r="C110" s="641"/>
      <c r="D110" s="641"/>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36"/>
      <c r="B111" s="639" t="s">
        <v>487</v>
      </c>
      <c r="C111" s="639" t="s">
        <v>488</v>
      </c>
      <c r="D111" s="639"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36"/>
      <c r="B112" s="640"/>
      <c r="C112" s="640"/>
      <c r="D112" s="640"/>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36"/>
      <c r="B113" s="640"/>
      <c r="C113" s="640"/>
      <c r="D113" s="641"/>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36"/>
      <c r="B114" s="640"/>
      <c r="C114" s="640"/>
      <c r="D114" s="639"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36"/>
      <c r="B115" s="640"/>
      <c r="C115" s="640"/>
      <c r="D115" s="640"/>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36"/>
      <c r="B116" s="640"/>
      <c r="C116" s="640"/>
      <c r="D116" s="640"/>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36"/>
      <c r="B117" s="640"/>
      <c r="C117" s="640"/>
      <c r="D117" s="641"/>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36"/>
      <c r="B118" s="640"/>
      <c r="C118" s="640"/>
      <c r="D118" s="639"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36"/>
      <c r="B119" s="640"/>
      <c r="C119" s="641"/>
      <c r="D119" s="641"/>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36"/>
      <c r="B120" s="640"/>
      <c r="C120" s="639" t="s">
        <v>501</v>
      </c>
      <c r="D120" s="639"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36"/>
      <c r="B121" s="640"/>
      <c r="C121" s="640"/>
      <c r="D121" s="640"/>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36"/>
      <c r="B122" s="640"/>
      <c r="C122" s="640"/>
      <c r="D122" s="640"/>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36"/>
      <c r="B123" s="640"/>
      <c r="C123" s="640"/>
      <c r="D123" s="640"/>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36"/>
      <c r="B124" s="640"/>
      <c r="C124" s="640"/>
      <c r="D124" s="640"/>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36"/>
      <c r="B125" s="640"/>
      <c r="C125" s="640"/>
      <c r="D125" s="641"/>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36"/>
      <c r="B126" s="640"/>
      <c r="C126" s="640"/>
      <c r="D126" s="639"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36"/>
      <c r="B127" s="640"/>
      <c r="C127" s="641"/>
      <c r="D127" s="641"/>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36"/>
      <c r="B128" s="640"/>
      <c r="C128" s="639" t="s">
        <v>512</v>
      </c>
      <c r="D128" s="639"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36"/>
      <c r="B129" s="640"/>
      <c r="C129" s="640"/>
      <c r="D129" s="640"/>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36"/>
      <c r="B130" s="640"/>
      <c r="C130" s="640"/>
      <c r="D130" s="640"/>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36"/>
      <c r="B131" s="640"/>
      <c r="C131" s="640"/>
      <c r="D131" s="641"/>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38"/>
      <c r="B132" s="642"/>
      <c r="C132" s="642"/>
      <c r="D132" s="647" t="s">
        <v>518</v>
      </c>
      <c r="E132" s="648"/>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1299</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1300</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1301</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1302</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1303</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1304</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1305</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1306</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1307</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1308</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1309</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1310</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1311</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1312</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1313</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1314</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1315</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1316</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1317</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1318</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1319</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1320</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1321</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1322</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1323</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1324</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1325</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1326</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1327</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1328</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1329</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1330</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1331</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1332</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1333</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1334</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1335</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1336</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1337</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1338</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 thickBot="1" x14ac:dyDescent="0.25">
      <c r="E187" s="442" t="s">
        <v>1339</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 ref="A18:E18"/>
    <mergeCell ref="B19:E19"/>
    <mergeCell ref="B20:E20"/>
    <mergeCell ref="B21:E21"/>
    <mergeCell ref="B22:E2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C88:C98"/>
    <mergeCell ref="C99:C110"/>
    <mergeCell ref="C111:C119"/>
    <mergeCell ref="C120:C127"/>
    <mergeCell ref="C128:C132"/>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1.5" x14ac:dyDescent="0.2"/>
  <cols>
    <col min="1" max="1" width="16" style="14" customWidth="1"/>
    <col min="2" max="4" width="11.6328125" style="14" customWidth="1"/>
    <col min="5" max="5" width="13.36328125" style="14" customWidth="1"/>
    <col min="6" max="6" width="3.453125" style="14" customWidth="1"/>
    <col min="7" max="7" width="13.81640625" style="14" customWidth="1"/>
    <col min="8" max="8" width="13.1796875" style="14" customWidth="1"/>
    <col min="9" max="9" width="3.6328125" style="14" customWidth="1"/>
    <col min="10" max="10" width="9.1796875" style="14" customWidth="1"/>
    <col min="11" max="11" width="14.6328125" style="14" customWidth="1"/>
    <col min="12" max="12" width="3.1796875" style="14" customWidth="1"/>
    <col min="13" max="13" width="8.6328125" style="14" customWidth="1"/>
    <col min="14" max="14" width="3.1796875" style="14" customWidth="1"/>
    <col min="15" max="15" width="9" style="14" customWidth="1"/>
    <col min="16" max="16" width="3.1796875" style="14" customWidth="1"/>
    <col min="17" max="17" width="9" style="14" customWidth="1"/>
    <col min="18" max="18" width="3.1796875" style="14" customWidth="1"/>
    <col min="19" max="19" width="9" style="14" customWidth="1"/>
    <col min="20" max="20" width="3.1796875" style="14" customWidth="1"/>
    <col min="21" max="21" width="9" style="14" customWidth="1"/>
    <col min="22" max="22" width="3.1796875" style="14" customWidth="1"/>
    <col min="23" max="23" width="9" style="14" customWidth="1"/>
    <col min="24" max="24" width="3.1796875" style="14" customWidth="1"/>
    <col min="25" max="25" width="9" style="14" customWidth="1"/>
    <col min="26" max="26" width="3.1796875" style="14" customWidth="1"/>
    <col min="27" max="27" width="9" style="14" customWidth="1"/>
    <col min="28" max="28" width="3.1796875" style="14" customWidth="1"/>
    <col min="29" max="29" width="9" style="14" customWidth="1"/>
    <col min="30" max="30" width="3.1796875" style="14" customWidth="1"/>
    <col min="31" max="31" width="9" style="14" customWidth="1"/>
    <col min="32" max="32" width="3.1796875" style="14" customWidth="1"/>
    <col min="33" max="33" width="9" style="14" customWidth="1"/>
    <col min="34" max="34" width="3.1796875" style="14" customWidth="1"/>
    <col min="35" max="35" width="9" style="14" customWidth="1"/>
    <col min="36" max="36" width="3.1796875" style="14" customWidth="1"/>
    <col min="37" max="16384" width="9" style="14"/>
  </cols>
  <sheetData>
    <row r="2" spans="1:36" x14ac:dyDescent="0.2">
      <c r="K2" s="14" t="s">
        <v>996</v>
      </c>
      <c r="M2" s="308">
        <v>1</v>
      </c>
    </row>
    <row r="3" spans="1:36" x14ac:dyDescent="0.2">
      <c r="K3" s="14" t="s">
        <v>997</v>
      </c>
      <c r="M3" s="308">
        <f>Rydberg!K$39</f>
        <v>1.0004360641284276</v>
      </c>
      <c r="O3" s="14" t="s">
        <v>1009</v>
      </c>
    </row>
    <row r="4" spans="1:36" x14ac:dyDescent="0.2">
      <c r="K4" s="14" t="s">
        <v>1005</v>
      </c>
      <c r="M4" s="308">
        <f>Bohr!K$39</f>
        <v>1.0038955805699634</v>
      </c>
    </row>
    <row r="5" spans="1:36" x14ac:dyDescent="0.2">
      <c r="K5" s="14" t="s">
        <v>998</v>
      </c>
      <c r="M5" s="308">
        <f>Clock!K$39</f>
        <v>1.0013524494285866</v>
      </c>
      <c r="O5" s="14" t="s">
        <v>1010</v>
      </c>
    </row>
    <row r="6" spans="1:36" x14ac:dyDescent="0.2">
      <c r="K6" s="14" t="s">
        <v>261</v>
      </c>
      <c r="M6" s="308">
        <f>Clock_by_Rydberg!K$39</f>
        <v>1.001352744549842</v>
      </c>
      <c r="O6" s="14" t="s">
        <v>1008</v>
      </c>
    </row>
    <row r="7" spans="1:36" ht="12" thickBot="1" x14ac:dyDescent="0.25">
      <c r="A7" s="138" t="s">
        <v>1011</v>
      </c>
      <c r="B7" s="325" t="s">
        <v>1012</v>
      </c>
      <c r="D7" s="649" t="s">
        <v>996</v>
      </c>
      <c r="E7" s="649"/>
      <c r="F7" s="326" t="s">
        <v>1013</v>
      </c>
      <c r="G7" s="324">
        <v>1.0013527423362005</v>
      </c>
      <c r="M7" s="308"/>
    </row>
    <row r="8" spans="1:36" ht="14.25" customHeight="1" x14ac:dyDescent="0.2">
      <c r="A8" s="653" t="s">
        <v>1003</v>
      </c>
      <c r="B8" s="655" t="s">
        <v>1006</v>
      </c>
      <c r="C8" s="655" t="s">
        <v>1007</v>
      </c>
      <c r="D8" s="651" t="s">
        <v>999</v>
      </c>
      <c r="E8" s="652"/>
      <c r="F8" s="309"/>
      <c r="G8" s="309"/>
      <c r="H8" s="309"/>
      <c r="I8" s="311"/>
      <c r="J8" s="312"/>
      <c r="K8" s="310"/>
    </row>
    <row r="9" spans="1:36" x14ac:dyDescent="0.2">
      <c r="A9" s="654"/>
      <c r="B9" s="656"/>
      <c r="C9" s="656"/>
      <c r="D9" s="313" t="s">
        <v>1001</v>
      </c>
      <c r="E9" s="313" t="s">
        <v>1002</v>
      </c>
      <c r="F9" s="52" t="s">
        <v>54</v>
      </c>
      <c r="G9" s="34" t="s">
        <v>1000</v>
      </c>
      <c r="H9" s="34" t="s">
        <v>45</v>
      </c>
      <c r="I9" s="587" t="s">
        <v>80</v>
      </c>
      <c r="J9" s="650"/>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x14ac:dyDescent="0.2">
      <c r="A10" s="314" t="s">
        <v>759</v>
      </c>
      <c r="B10" s="315">
        <v>1</v>
      </c>
      <c r="C10" s="316" t="s">
        <v>758</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761</v>
      </c>
      <c r="B12" s="315"/>
      <c r="C12" s="316" t="s">
        <v>760</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x14ac:dyDescent="0.2">
      <c r="A13" s="314" t="s">
        <v>763</v>
      </c>
      <c r="B13" s="315">
        <v>2</v>
      </c>
      <c r="C13" s="316" t="s">
        <v>762</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x14ac:dyDescent="0.2">
      <c r="A15" s="314" t="s">
        <v>765</v>
      </c>
      <c r="B15" s="315">
        <v>3</v>
      </c>
      <c r="C15" s="316" t="s">
        <v>764</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x14ac:dyDescent="0.2">
      <c r="A17" s="314" t="s">
        <v>767</v>
      </c>
      <c r="B17" s="315">
        <v>4</v>
      </c>
      <c r="C17" s="316" t="s">
        <v>766</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x14ac:dyDescent="0.2">
      <c r="A19" s="314" t="s">
        <v>769</v>
      </c>
      <c r="B19" s="315">
        <v>5</v>
      </c>
      <c r="C19" s="316" t="s">
        <v>768</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x14ac:dyDescent="0.2">
      <c r="A21" s="314" t="s">
        <v>771</v>
      </c>
      <c r="B21" s="315">
        <v>6</v>
      </c>
      <c r="C21" s="316" t="s">
        <v>770</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x14ac:dyDescent="0.2">
      <c r="A23" s="314" t="s">
        <v>773</v>
      </c>
      <c r="B23" s="315"/>
      <c r="C23" s="316" t="s">
        <v>772</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775</v>
      </c>
      <c r="B24" s="315">
        <v>7</v>
      </c>
      <c r="C24" s="316" t="s">
        <v>774</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777</v>
      </c>
      <c r="B26" s="315"/>
      <c r="C26" s="316" t="s">
        <v>776</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779</v>
      </c>
      <c r="B27" s="315">
        <v>8</v>
      </c>
      <c r="C27" s="316" t="s">
        <v>778</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781</v>
      </c>
      <c r="B29" s="315">
        <v>9</v>
      </c>
      <c r="C29" s="316" t="s">
        <v>780</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783</v>
      </c>
      <c r="B31" s="315">
        <v>10</v>
      </c>
      <c r="C31" s="316" t="s">
        <v>782</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785</v>
      </c>
      <c r="B33" s="315">
        <v>11</v>
      </c>
      <c r="C33" s="316" t="s">
        <v>784</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787</v>
      </c>
      <c r="B35" s="315">
        <v>12</v>
      </c>
      <c r="C35" s="316" t="s">
        <v>786</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789</v>
      </c>
      <c r="B37" s="315">
        <v>13</v>
      </c>
      <c r="C37" s="316" t="s">
        <v>788</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791</v>
      </c>
      <c r="B39" s="315">
        <v>14</v>
      </c>
      <c r="C39" s="316" t="s">
        <v>790</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793</v>
      </c>
      <c r="B41" s="315">
        <v>15</v>
      </c>
      <c r="C41" s="316" t="s">
        <v>792</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795</v>
      </c>
      <c r="B43" s="315">
        <v>16</v>
      </c>
      <c r="C43" s="316" t="s">
        <v>794</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797</v>
      </c>
      <c r="B45" s="315">
        <v>17</v>
      </c>
      <c r="C45" s="316" t="s">
        <v>796</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799</v>
      </c>
      <c r="B47" s="315">
        <v>18</v>
      </c>
      <c r="C47" s="316" t="s">
        <v>798</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800</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802</v>
      </c>
      <c r="B51" s="315">
        <v>20</v>
      </c>
      <c r="C51" s="316" t="s">
        <v>801</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804</v>
      </c>
      <c r="B53" s="315">
        <v>21</v>
      </c>
      <c r="C53" s="316" t="s">
        <v>803</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806</v>
      </c>
      <c r="B55" s="315">
        <v>22</v>
      </c>
      <c r="C55" s="316" t="s">
        <v>805</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808</v>
      </c>
      <c r="B57" s="315">
        <v>23</v>
      </c>
      <c r="C57" s="316" t="s">
        <v>807</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810</v>
      </c>
      <c r="B59" s="315">
        <v>24</v>
      </c>
      <c r="C59" s="316" t="s">
        <v>809</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812</v>
      </c>
      <c r="B61" s="315">
        <v>25</v>
      </c>
      <c r="C61" s="316" t="s">
        <v>811</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814</v>
      </c>
      <c r="B63" s="315">
        <v>26</v>
      </c>
      <c r="C63" s="316" t="s">
        <v>813</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816</v>
      </c>
      <c r="B65" s="315">
        <v>27</v>
      </c>
      <c r="C65" s="316" t="s">
        <v>815</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818</v>
      </c>
      <c r="B67" s="315">
        <v>28</v>
      </c>
      <c r="C67" s="316" t="s">
        <v>817</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820</v>
      </c>
      <c r="B69" s="315">
        <v>29</v>
      </c>
      <c r="C69" s="316" t="s">
        <v>819</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822</v>
      </c>
      <c r="B71" s="315">
        <v>30</v>
      </c>
      <c r="C71" s="316" t="s">
        <v>821</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824</v>
      </c>
      <c r="B73" s="315">
        <v>31</v>
      </c>
      <c r="C73" s="316" t="s">
        <v>823</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826</v>
      </c>
      <c r="B75" s="315">
        <v>32</v>
      </c>
      <c r="C75" s="316" t="s">
        <v>825</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828</v>
      </c>
      <c r="B77" s="315">
        <v>33</v>
      </c>
      <c r="C77" s="316" t="s">
        <v>827</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830</v>
      </c>
      <c r="B79" s="315">
        <v>34</v>
      </c>
      <c r="C79" s="316" t="s">
        <v>829</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832</v>
      </c>
      <c r="B81" s="315">
        <v>35</v>
      </c>
      <c r="C81" s="316" t="s">
        <v>831</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834</v>
      </c>
      <c r="B83" s="315">
        <v>36</v>
      </c>
      <c r="C83" s="316" t="s">
        <v>833</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836</v>
      </c>
      <c r="B85" s="315">
        <v>37</v>
      </c>
      <c r="C85" s="316" t="s">
        <v>835</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838</v>
      </c>
      <c r="B87" s="315">
        <v>38</v>
      </c>
      <c r="C87" s="316" t="s">
        <v>837</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840</v>
      </c>
      <c r="B89" s="315">
        <v>39</v>
      </c>
      <c r="C89" s="316" t="s">
        <v>839</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842</v>
      </c>
      <c r="B91" s="315">
        <v>40</v>
      </c>
      <c r="C91" s="316" t="s">
        <v>841</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844</v>
      </c>
      <c r="B93" s="315">
        <v>41</v>
      </c>
      <c r="C93" s="316" t="s">
        <v>843</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846</v>
      </c>
      <c r="B95" s="315">
        <v>42</v>
      </c>
      <c r="C95" s="316" t="s">
        <v>845</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848</v>
      </c>
      <c r="B97" s="315">
        <v>43</v>
      </c>
      <c r="C97" s="316" t="s">
        <v>847</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850</v>
      </c>
      <c r="B99" s="315">
        <v>44</v>
      </c>
      <c r="C99" s="316" t="s">
        <v>849</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852</v>
      </c>
      <c r="B101" s="315">
        <v>45</v>
      </c>
      <c r="C101" s="316" t="s">
        <v>851</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854</v>
      </c>
      <c r="B103" s="315">
        <v>46</v>
      </c>
      <c r="C103" s="316" t="s">
        <v>853</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856</v>
      </c>
      <c r="B105" s="315">
        <v>47</v>
      </c>
      <c r="C105" s="316" t="s">
        <v>855</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858</v>
      </c>
      <c r="B107" s="315">
        <v>48</v>
      </c>
      <c r="C107" s="316" t="s">
        <v>857</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860</v>
      </c>
      <c r="B109" s="315">
        <v>49</v>
      </c>
      <c r="C109" s="316" t="s">
        <v>859</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862</v>
      </c>
      <c r="B111" s="315">
        <v>50</v>
      </c>
      <c r="C111" s="316" t="s">
        <v>861</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864</v>
      </c>
      <c r="B113" s="315">
        <v>51</v>
      </c>
      <c r="C113" s="316" t="s">
        <v>863</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866</v>
      </c>
      <c r="B115" s="315">
        <v>52</v>
      </c>
      <c r="C115" s="316" t="s">
        <v>865</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868</v>
      </c>
      <c r="B117" s="315">
        <v>53</v>
      </c>
      <c r="C117" s="316" t="s">
        <v>867</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870</v>
      </c>
      <c r="B119" s="315">
        <v>54</v>
      </c>
      <c r="C119" s="316" t="s">
        <v>869</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872</v>
      </c>
      <c r="B121" s="315">
        <v>55</v>
      </c>
      <c r="C121" s="316" t="s">
        <v>871</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874</v>
      </c>
      <c r="B123" s="315">
        <v>56</v>
      </c>
      <c r="C123" s="316" t="s">
        <v>873</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876</v>
      </c>
      <c r="B125" s="315">
        <v>57</v>
      </c>
      <c r="C125" s="316" t="s">
        <v>875</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878</v>
      </c>
      <c r="B127" s="315">
        <v>58</v>
      </c>
      <c r="C127" s="316" t="s">
        <v>877</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880</v>
      </c>
      <c r="B129" s="315">
        <v>59</v>
      </c>
      <c r="C129" s="316" t="s">
        <v>879</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882</v>
      </c>
      <c r="B131" s="315">
        <v>60</v>
      </c>
      <c r="C131" s="316" t="s">
        <v>881</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884</v>
      </c>
      <c r="B133" s="315">
        <v>61</v>
      </c>
      <c r="C133" s="316" t="s">
        <v>883</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886</v>
      </c>
      <c r="B135" s="315">
        <v>62</v>
      </c>
      <c r="C135" s="316" t="s">
        <v>885</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888</v>
      </c>
      <c r="B137" s="315">
        <v>63</v>
      </c>
      <c r="C137" s="316" t="s">
        <v>887</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890</v>
      </c>
      <c r="B139" s="315">
        <v>64</v>
      </c>
      <c r="C139" s="316" t="s">
        <v>889</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892</v>
      </c>
      <c r="B141" s="315">
        <v>65</v>
      </c>
      <c r="C141" s="316" t="s">
        <v>891</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894</v>
      </c>
      <c r="B143" s="315">
        <v>66</v>
      </c>
      <c r="C143" s="316" t="s">
        <v>893</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896</v>
      </c>
      <c r="B145" s="315">
        <v>67</v>
      </c>
      <c r="C145" s="316" t="s">
        <v>895</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898</v>
      </c>
      <c r="B147" s="315">
        <v>68</v>
      </c>
      <c r="C147" s="316" t="s">
        <v>897</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900</v>
      </c>
      <c r="B149" s="315">
        <v>69</v>
      </c>
      <c r="C149" s="316" t="s">
        <v>899</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902</v>
      </c>
      <c r="B151" s="315">
        <v>70</v>
      </c>
      <c r="C151" s="316" t="s">
        <v>901</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904</v>
      </c>
      <c r="B153" s="315">
        <v>71</v>
      </c>
      <c r="C153" s="316" t="s">
        <v>903</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906</v>
      </c>
      <c r="B155" s="315">
        <v>72</v>
      </c>
      <c r="C155" s="316" t="s">
        <v>905</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908</v>
      </c>
      <c r="B157" s="315">
        <v>73</v>
      </c>
      <c r="C157" s="316" t="s">
        <v>907</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1004</v>
      </c>
      <c r="B159" s="315">
        <v>74</v>
      </c>
      <c r="C159" s="316" t="s">
        <v>909</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911</v>
      </c>
      <c r="B161" s="315">
        <v>75</v>
      </c>
      <c r="C161" s="316" t="s">
        <v>910</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913</v>
      </c>
      <c r="B163" s="315">
        <v>76</v>
      </c>
      <c r="C163" s="316" t="s">
        <v>912</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915</v>
      </c>
      <c r="B165" s="315">
        <v>77</v>
      </c>
      <c r="C165" s="316" t="s">
        <v>914</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917</v>
      </c>
      <c r="B167" s="315">
        <v>78</v>
      </c>
      <c r="C167" s="316" t="s">
        <v>916</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919</v>
      </c>
      <c r="B169" s="315">
        <v>79</v>
      </c>
      <c r="C169" s="316" t="s">
        <v>918</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921</v>
      </c>
      <c r="B171" s="315">
        <v>80</v>
      </c>
      <c r="C171" s="316" t="s">
        <v>920</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923</v>
      </c>
      <c r="B173" s="315">
        <v>81</v>
      </c>
      <c r="C173" s="316" t="s">
        <v>922</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925</v>
      </c>
      <c r="B175" s="315">
        <v>82</v>
      </c>
      <c r="C175" s="316" t="s">
        <v>924</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927</v>
      </c>
      <c r="B177" s="315">
        <v>83</v>
      </c>
      <c r="C177" s="316" t="s">
        <v>926</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929</v>
      </c>
      <c r="B179" s="315">
        <v>84</v>
      </c>
      <c r="C179" s="316" t="s">
        <v>928</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931</v>
      </c>
      <c r="B181" s="315">
        <v>85</v>
      </c>
      <c r="C181" s="316" t="s">
        <v>930</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933</v>
      </c>
      <c r="B183" s="315">
        <v>86</v>
      </c>
      <c r="C183" s="316" t="s">
        <v>932</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935</v>
      </c>
      <c r="B185" s="315">
        <v>87</v>
      </c>
      <c r="C185" s="316" t="s">
        <v>934</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937</v>
      </c>
      <c r="B187" s="315">
        <v>88</v>
      </c>
      <c r="C187" s="316" t="s">
        <v>936</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939</v>
      </c>
      <c r="B189" s="315">
        <v>89</v>
      </c>
      <c r="C189" s="316" t="s">
        <v>938</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941</v>
      </c>
      <c r="B191" s="315">
        <v>90</v>
      </c>
      <c r="C191" s="316" t="s">
        <v>940</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943</v>
      </c>
      <c r="B193" s="315">
        <v>91</v>
      </c>
      <c r="C193" s="316" t="s">
        <v>942</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945</v>
      </c>
      <c r="B194" s="315">
        <v>92</v>
      </c>
      <c r="C194" s="316" t="s">
        <v>944</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947</v>
      </c>
      <c r="B196" s="315">
        <v>93</v>
      </c>
      <c r="C196" s="316" t="s">
        <v>946</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949</v>
      </c>
      <c r="B198" s="315">
        <v>94</v>
      </c>
      <c r="C198" s="316" t="s">
        <v>948</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951</v>
      </c>
      <c r="B200" s="315">
        <v>95</v>
      </c>
      <c r="C200" s="316" t="s">
        <v>950</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953</v>
      </c>
      <c r="B202" s="315">
        <v>96</v>
      </c>
      <c r="C202" s="316" t="s">
        <v>952</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955</v>
      </c>
      <c r="B204" s="315">
        <v>97</v>
      </c>
      <c r="C204" s="316" t="s">
        <v>954</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957</v>
      </c>
      <c r="B206" s="315">
        <v>98</v>
      </c>
      <c r="C206" s="316" t="s">
        <v>956</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959</v>
      </c>
      <c r="B208" s="315">
        <v>99</v>
      </c>
      <c r="C208" s="316" t="s">
        <v>958</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961</v>
      </c>
      <c r="B210" s="315">
        <v>100</v>
      </c>
      <c r="C210" s="316" t="s">
        <v>960</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963</v>
      </c>
      <c r="B212" s="315">
        <v>101</v>
      </c>
      <c r="C212" s="316" t="s">
        <v>962</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965</v>
      </c>
      <c r="B214" s="315">
        <v>102</v>
      </c>
      <c r="C214" s="316" t="s">
        <v>964</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967</v>
      </c>
      <c r="B216" s="315">
        <v>103</v>
      </c>
      <c r="C216" s="316" t="s">
        <v>966</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969</v>
      </c>
      <c r="B218" s="315">
        <v>104</v>
      </c>
      <c r="C218" s="316" t="s">
        <v>968</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971</v>
      </c>
      <c r="B220" s="315">
        <v>105</v>
      </c>
      <c r="C220" s="316" t="s">
        <v>970</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973</v>
      </c>
      <c r="B222" s="315">
        <v>106</v>
      </c>
      <c r="C222" s="316" t="s">
        <v>972</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975</v>
      </c>
      <c r="B224" s="315">
        <v>107</v>
      </c>
      <c r="C224" s="316" t="s">
        <v>974</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977</v>
      </c>
      <c r="B226" s="315">
        <v>108</v>
      </c>
      <c r="C226" s="316" t="s">
        <v>976</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979</v>
      </c>
      <c r="B227" s="315">
        <v>109</v>
      </c>
      <c r="C227" s="316" t="s">
        <v>978</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981</v>
      </c>
      <c r="B229" s="315">
        <v>110</v>
      </c>
      <c r="C229" s="316" t="s">
        <v>980</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984</v>
      </c>
      <c r="B231" s="315">
        <v>111</v>
      </c>
      <c r="C231" s="316" t="s">
        <v>982</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986</v>
      </c>
      <c r="B232" s="315">
        <v>112</v>
      </c>
      <c r="C232" s="316" t="s">
        <v>983</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988</v>
      </c>
      <c r="B233" s="315">
        <v>113</v>
      </c>
      <c r="C233" s="316" t="s">
        <v>985</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990</v>
      </c>
      <c r="B234" s="315">
        <v>114</v>
      </c>
      <c r="C234" s="316" t="s">
        <v>987</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992</v>
      </c>
      <c r="B235" s="315">
        <v>115</v>
      </c>
      <c r="C235" s="316" t="s">
        <v>989</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994</v>
      </c>
      <c r="B236" s="315">
        <v>116</v>
      </c>
      <c r="C236" s="316" t="s">
        <v>991</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 thickBot="1" x14ac:dyDescent="0.25">
      <c r="A237" s="319" t="s">
        <v>995</v>
      </c>
      <c r="B237" s="320">
        <v>118</v>
      </c>
      <c r="C237" s="321" t="s">
        <v>993</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1.5" x14ac:dyDescent="0.2"/>
  <cols>
    <col min="1" max="1" width="13.7265625" style="54" customWidth="1"/>
    <col min="2" max="2" width="22.7265625" style="138" customWidth="1"/>
    <col min="3" max="3" width="23.453125" style="14" customWidth="1"/>
    <col min="4" max="4" width="29" style="14" customWidth="1"/>
    <col min="5" max="5" width="7.7265625" style="54" customWidth="1"/>
    <col min="6" max="6" width="7.81640625" style="14" customWidth="1"/>
    <col min="7" max="7" width="7.453125" style="14" customWidth="1"/>
    <col min="8" max="10" width="16.36328125" style="14" customWidth="1"/>
    <col min="11" max="11" width="14.453125" style="14" customWidth="1"/>
    <col min="12" max="12" width="12.36328125" style="14" customWidth="1"/>
    <col min="13" max="13" width="3.6328125" style="54" customWidth="1"/>
    <col min="14" max="15" width="9" style="54"/>
    <col min="16" max="16384" width="9" style="14"/>
  </cols>
  <sheetData>
    <row r="1" spans="1:15" x14ac:dyDescent="0.2">
      <c r="A1" s="657" t="s">
        <v>1436</v>
      </c>
      <c r="B1" s="657"/>
      <c r="C1" s="657"/>
      <c r="D1" s="657"/>
      <c r="E1" s="54" t="s">
        <v>1114</v>
      </c>
      <c r="F1" s="634" t="s">
        <v>1112</v>
      </c>
      <c r="G1" s="634"/>
      <c r="H1" s="54" t="s">
        <v>1115</v>
      </c>
      <c r="K1" s="634" t="s">
        <v>1113</v>
      </c>
      <c r="L1" s="634"/>
      <c r="M1" s="634"/>
      <c r="N1" s="634"/>
      <c r="O1" s="634"/>
    </row>
    <row r="2" spans="1:15" x14ac:dyDescent="0.2">
      <c r="A2" s="431" t="s">
        <v>1138</v>
      </c>
      <c r="B2" s="431" t="s">
        <v>1139</v>
      </c>
      <c r="C2" s="431" t="s">
        <v>1140</v>
      </c>
      <c r="D2" s="435" t="s">
        <v>1149</v>
      </c>
      <c r="E2" s="54">
        <v>-32</v>
      </c>
      <c r="F2" s="429" t="s">
        <v>1119</v>
      </c>
      <c r="G2" s="14" t="s">
        <v>1638</v>
      </c>
      <c r="H2" s="14" t="str">
        <f>IF($H$1="I", I2,IF($H$1="J",J2,K2))</f>
        <v>tetra-atomic</v>
      </c>
      <c r="I2" s="14" t="s">
        <v>1468</v>
      </c>
      <c r="J2" s="14" t="s">
        <v>1468</v>
      </c>
      <c r="K2" s="14" t="s">
        <v>1468</v>
      </c>
    </row>
    <row r="3" spans="1:15" x14ac:dyDescent="0.2">
      <c r="A3" s="433" t="s">
        <v>1433</v>
      </c>
      <c r="B3" s="440" t="s">
        <v>1713</v>
      </c>
      <c r="C3" s="434" t="s">
        <v>1527</v>
      </c>
      <c r="D3" s="434" t="s">
        <v>1554</v>
      </c>
      <c r="E3" s="54">
        <v>-31</v>
      </c>
      <c r="F3" s="429"/>
      <c r="G3" s="14" t="s">
        <v>1639</v>
      </c>
      <c r="H3" s="14" t="str">
        <f t="shared" ref="H3:H33" si="0">IF($H$1="I", I3,IF($H$1="J",J3,K3))</f>
        <v>dozen tetra-atomic</v>
      </c>
      <c r="I3" s="14" t="s">
        <v>1585</v>
      </c>
      <c r="J3" s="14" t="s">
        <v>1469</v>
      </c>
      <c r="K3" s="14" t="s">
        <v>1470</v>
      </c>
    </row>
    <row r="4" spans="1:15" x14ac:dyDescent="0.2">
      <c r="A4" s="433" t="s">
        <v>1434</v>
      </c>
      <c r="B4" s="440" t="s">
        <v>1714</v>
      </c>
      <c r="C4" s="434" t="s">
        <v>1528</v>
      </c>
      <c r="D4" s="434" t="s">
        <v>1152</v>
      </c>
      <c r="E4" s="54">
        <v>-30</v>
      </c>
      <c r="F4" s="429"/>
      <c r="G4" s="14" t="s">
        <v>1640</v>
      </c>
      <c r="H4" s="14" t="str">
        <f t="shared" si="0"/>
        <v>gross tetra-atomic</v>
      </c>
      <c r="I4" s="14" t="s">
        <v>1586</v>
      </c>
      <c r="J4" s="14" t="s">
        <v>1471</v>
      </c>
      <c r="K4" s="14" t="s">
        <v>1472</v>
      </c>
    </row>
    <row r="5" spans="1:15" x14ac:dyDescent="0.2">
      <c r="A5" s="432" t="s">
        <v>1427</v>
      </c>
      <c r="B5" s="438" t="s">
        <v>1715</v>
      </c>
      <c r="C5" s="439" t="s">
        <v>1553</v>
      </c>
      <c r="D5" s="439" t="s">
        <v>1554</v>
      </c>
      <c r="E5" s="54">
        <v>-29</v>
      </c>
      <c r="F5" s="429"/>
      <c r="G5" s="14" t="s">
        <v>1641</v>
      </c>
      <c r="H5" s="14" t="str">
        <f t="shared" si="0"/>
        <v>doz gross tetra-atomic</v>
      </c>
      <c r="I5" s="14" t="s">
        <v>1587</v>
      </c>
      <c r="J5" s="14" t="s">
        <v>1473</v>
      </c>
      <c r="K5" s="14" t="s">
        <v>1474</v>
      </c>
    </row>
    <row r="6" spans="1:15" x14ac:dyDescent="0.2">
      <c r="A6" s="432" t="s">
        <v>1428</v>
      </c>
      <c r="B6" s="438" t="s">
        <v>1716</v>
      </c>
      <c r="C6" s="439" t="s">
        <v>1529</v>
      </c>
      <c r="D6" s="439" t="s">
        <v>1554</v>
      </c>
      <c r="E6" s="54">
        <v>-28</v>
      </c>
      <c r="F6" s="429" t="s">
        <v>1120</v>
      </c>
      <c r="G6" s="14" t="s">
        <v>1642</v>
      </c>
      <c r="H6" s="14" t="str">
        <f t="shared" si="0"/>
        <v>ter-atomic sub</v>
      </c>
      <c r="I6" s="14" t="s">
        <v>1555</v>
      </c>
      <c r="J6" s="14" t="s">
        <v>1555</v>
      </c>
      <c r="K6" s="14" t="s">
        <v>1556</v>
      </c>
    </row>
    <row r="7" spans="1:15" x14ac:dyDescent="0.2">
      <c r="A7" s="432" t="s">
        <v>1429</v>
      </c>
      <c r="B7" s="438" t="s">
        <v>1717</v>
      </c>
      <c r="C7" s="439" t="s">
        <v>1530</v>
      </c>
      <c r="D7" s="439" t="s">
        <v>1554</v>
      </c>
      <c r="E7" s="54">
        <v>-27</v>
      </c>
      <c r="F7" s="429"/>
      <c r="G7" s="14" t="s">
        <v>1643</v>
      </c>
      <c r="H7" s="14" t="str">
        <f t="shared" si="0"/>
        <v>terno ter-atomic</v>
      </c>
      <c r="I7" s="14" t="s">
        <v>1588</v>
      </c>
      <c r="J7" s="14" t="s">
        <v>1557</v>
      </c>
      <c r="K7" s="14" t="s">
        <v>1558</v>
      </c>
    </row>
    <row r="8" spans="1:15" x14ac:dyDescent="0.2">
      <c r="A8" s="432" t="s">
        <v>1430</v>
      </c>
      <c r="B8" s="438" t="s">
        <v>1718</v>
      </c>
      <c r="C8" s="439" t="s">
        <v>1531</v>
      </c>
      <c r="D8" s="439" t="s">
        <v>1554</v>
      </c>
      <c r="E8" s="54">
        <v>-26</v>
      </c>
      <c r="F8" s="429"/>
      <c r="G8" s="14" t="s">
        <v>1644</v>
      </c>
      <c r="H8" s="14" t="str">
        <f t="shared" si="0"/>
        <v>dino ter-atomic</v>
      </c>
      <c r="I8" s="14" t="s">
        <v>1589</v>
      </c>
      <c r="J8" s="14" t="s">
        <v>1559</v>
      </c>
      <c r="K8" s="14" t="s">
        <v>1560</v>
      </c>
    </row>
    <row r="9" spans="1:15" x14ac:dyDescent="0.2">
      <c r="A9" s="432" t="s">
        <v>1431</v>
      </c>
      <c r="B9" s="438" t="s">
        <v>1719</v>
      </c>
      <c r="C9" s="439" t="s">
        <v>1532</v>
      </c>
      <c r="D9" s="439" t="s">
        <v>1152</v>
      </c>
      <c r="E9" s="54">
        <v>-25</v>
      </c>
      <c r="F9" s="429"/>
      <c r="G9" s="14" t="s">
        <v>1645</v>
      </c>
      <c r="H9" s="14" t="str">
        <f t="shared" si="0"/>
        <v>unino ter-atomic</v>
      </c>
      <c r="I9" s="14" t="s">
        <v>1590</v>
      </c>
      <c r="J9" s="14" t="s">
        <v>1561</v>
      </c>
      <c r="K9" s="14" t="s">
        <v>1562</v>
      </c>
    </row>
    <row r="10" spans="1:15" x14ac:dyDescent="0.2">
      <c r="A10" s="432" t="s">
        <v>1432</v>
      </c>
      <c r="B10" s="438" t="s">
        <v>1720</v>
      </c>
      <c r="C10" s="439" t="s">
        <v>1533</v>
      </c>
      <c r="D10" s="439" t="s">
        <v>1554</v>
      </c>
      <c r="E10" s="54">
        <v>-24</v>
      </c>
      <c r="F10" s="429" t="s">
        <v>1121</v>
      </c>
      <c r="G10" s="14" t="s">
        <v>1646</v>
      </c>
      <c r="H10" s="14" t="str">
        <f t="shared" si="0"/>
        <v>ter-atomic</v>
      </c>
      <c r="I10" s="14" t="s">
        <v>1563</v>
      </c>
      <c r="J10" s="14" t="s">
        <v>1563</v>
      </c>
      <c r="K10" s="14" t="s">
        <v>1563</v>
      </c>
    </row>
    <row r="11" spans="1:15" x14ac:dyDescent="0.2">
      <c r="A11" s="432" t="s">
        <v>1426</v>
      </c>
      <c r="B11" s="438" t="s">
        <v>1721</v>
      </c>
      <c r="C11" s="439" t="s">
        <v>1534</v>
      </c>
      <c r="D11" s="439" t="s">
        <v>1152</v>
      </c>
      <c r="E11" s="54">
        <v>-23</v>
      </c>
      <c r="F11" s="429"/>
      <c r="G11" s="14" t="s">
        <v>1647</v>
      </c>
      <c r="H11" s="14" t="str">
        <f t="shared" si="0"/>
        <v>dozen ter-atomic</v>
      </c>
      <c r="I11" s="14" t="s">
        <v>1591</v>
      </c>
      <c r="J11" s="14" t="s">
        <v>1564</v>
      </c>
      <c r="K11" s="14" t="s">
        <v>1565</v>
      </c>
    </row>
    <row r="12" spans="1:15" x14ac:dyDescent="0.2">
      <c r="A12" s="433" t="s">
        <v>1425</v>
      </c>
      <c r="B12" s="440" t="s">
        <v>1722</v>
      </c>
      <c r="C12" s="434" t="s">
        <v>1552</v>
      </c>
      <c r="D12" s="434"/>
      <c r="E12" s="54">
        <v>-22</v>
      </c>
      <c r="F12" s="429"/>
      <c r="G12" s="14" t="s">
        <v>1648</v>
      </c>
      <c r="H12" s="14" t="str">
        <f t="shared" si="0"/>
        <v>gross ter-atomic</v>
      </c>
      <c r="I12" s="14" t="s">
        <v>1592</v>
      </c>
      <c r="J12" s="14" t="s">
        <v>1566</v>
      </c>
      <c r="K12" s="14" t="s">
        <v>1567</v>
      </c>
    </row>
    <row r="13" spans="1:15" x14ac:dyDescent="0.2">
      <c r="A13" s="433" t="s">
        <v>1424</v>
      </c>
      <c r="B13" s="440" t="s">
        <v>1723</v>
      </c>
      <c r="C13" s="434" t="s">
        <v>1535</v>
      </c>
      <c r="D13" s="435"/>
      <c r="E13" s="54">
        <v>-21</v>
      </c>
      <c r="F13" s="429"/>
      <c r="G13" s="14" t="s">
        <v>1649</v>
      </c>
      <c r="H13" s="14" t="str">
        <f t="shared" si="0"/>
        <v>doz gross ter-atomic</v>
      </c>
      <c r="I13" s="14" t="s">
        <v>1593</v>
      </c>
      <c r="J13" s="14" t="s">
        <v>1568</v>
      </c>
      <c r="K13" s="14" t="s">
        <v>1569</v>
      </c>
    </row>
    <row r="14" spans="1:15" x14ac:dyDescent="0.2">
      <c r="A14" s="433" t="s">
        <v>1423</v>
      </c>
      <c r="B14" s="440" t="s">
        <v>1724</v>
      </c>
      <c r="C14" s="434" t="s">
        <v>1536</v>
      </c>
      <c r="D14" s="435"/>
      <c r="E14" s="54">
        <v>-20</v>
      </c>
      <c r="F14" s="429" t="s">
        <v>1122</v>
      </c>
      <c r="G14" s="14" t="s">
        <v>1650</v>
      </c>
      <c r="H14" s="14" t="str">
        <f t="shared" si="0"/>
        <v>di-atomic sub</v>
      </c>
      <c r="I14" s="14" t="s">
        <v>1453</v>
      </c>
      <c r="J14" s="14" t="s">
        <v>1453</v>
      </c>
      <c r="K14" s="14" t="s">
        <v>1454</v>
      </c>
    </row>
    <row r="15" spans="1:15" x14ac:dyDescent="0.2">
      <c r="A15" s="433" t="s">
        <v>1422</v>
      </c>
      <c r="B15" s="440" t="s">
        <v>1725</v>
      </c>
      <c r="C15" s="434" t="s">
        <v>1537</v>
      </c>
      <c r="D15" s="435"/>
      <c r="E15" s="54">
        <v>-19</v>
      </c>
      <c r="F15" s="429"/>
      <c r="G15" s="14" t="s">
        <v>1651</v>
      </c>
      <c r="H15" s="14" t="str">
        <f t="shared" si="0"/>
        <v>terno di-atomic</v>
      </c>
      <c r="I15" s="14" t="s">
        <v>1594</v>
      </c>
      <c r="J15" s="14" t="s">
        <v>1455</v>
      </c>
      <c r="K15" s="14" t="s">
        <v>1456</v>
      </c>
    </row>
    <row r="16" spans="1:15" x14ac:dyDescent="0.2">
      <c r="A16" s="433" t="s">
        <v>1421</v>
      </c>
      <c r="B16" s="440" t="s">
        <v>1726</v>
      </c>
      <c r="C16" s="434" t="s">
        <v>1538</v>
      </c>
      <c r="D16" s="435"/>
      <c r="E16" s="54">
        <v>-18</v>
      </c>
      <c r="F16" s="429"/>
      <c r="G16" s="14" t="s">
        <v>1652</v>
      </c>
      <c r="H16" s="14" t="str">
        <f t="shared" si="0"/>
        <v>dino di-atomic</v>
      </c>
      <c r="I16" s="14" t="s">
        <v>1595</v>
      </c>
      <c r="J16" s="14" t="s">
        <v>1457</v>
      </c>
      <c r="K16" s="14" t="s">
        <v>1458</v>
      </c>
    </row>
    <row r="17" spans="1:15" x14ac:dyDescent="0.2">
      <c r="A17" s="433" t="s">
        <v>1420</v>
      </c>
      <c r="B17" s="440" t="s">
        <v>1727</v>
      </c>
      <c r="C17" s="434" t="s">
        <v>1539</v>
      </c>
      <c r="D17" s="435"/>
      <c r="E17" s="54">
        <v>-17</v>
      </c>
      <c r="F17" s="429"/>
      <c r="G17" s="14" t="s">
        <v>1653</v>
      </c>
      <c r="H17" s="14" t="str">
        <f t="shared" si="0"/>
        <v>unino di-atomic</v>
      </c>
      <c r="I17" s="14" t="s">
        <v>1596</v>
      </c>
      <c r="J17" s="14" t="s">
        <v>1459</v>
      </c>
      <c r="K17" s="14" t="s">
        <v>1460</v>
      </c>
    </row>
    <row r="18" spans="1:15" x14ac:dyDescent="0.2">
      <c r="A18" s="433" t="s">
        <v>1419</v>
      </c>
      <c r="B18" s="440" t="s">
        <v>1728</v>
      </c>
      <c r="C18" s="434" t="s">
        <v>1540</v>
      </c>
      <c r="D18" s="435"/>
      <c r="E18" s="54">
        <v>-16</v>
      </c>
      <c r="F18" s="429" t="s">
        <v>1123</v>
      </c>
      <c r="G18" s="14" t="s">
        <v>1654</v>
      </c>
      <c r="H18" s="14" t="str">
        <f t="shared" si="0"/>
        <v>di-atomic</v>
      </c>
      <c r="I18" s="14" t="s">
        <v>1461</v>
      </c>
      <c r="J18" s="14" t="s">
        <v>1461</v>
      </c>
      <c r="K18" s="14" t="s">
        <v>1461</v>
      </c>
    </row>
    <row r="19" spans="1:15" x14ac:dyDescent="0.2">
      <c r="A19" s="432" t="s">
        <v>1141</v>
      </c>
      <c r="B19" s="438">
        <v>1</v>
      </c>
      <c r="C19" s="439" t="s">
        <v>1156</v>
      </c>
      <c r="D19" s="439" t="s">
        <v>1153</v>
      </c>
      <c r="E19" s="54">
        <v>-15</v>
      </c>
      <c r="F19" s="429"/>
      <c r="G19" s="14" t="s">
        <v>1655</v>
      </c>
      <c r="H19" s="14" t="str">
        <f t="shared" si="0"/>
        <v>dozen di-atomic</v>
      </c>
      <c r="I19" s="14" t="s">
        <v>1597</v>
      </c>
      <c r="J19" s="14" t="s">
        <v>1462</v>
      </c>
      <c r="K19" s="14" t="s">
        <v>1463</v>
      </c>
    </row>
    <row r="20" spans="1:15" x14ac:dyDescent="0.2">
      <c r="A20" s="433">
        <v>1</v>
      </c>
      <c r="B20" s="440" t="s">
        <v>1172</v>
      </c>
      <c r="C20" s="434" t="s">
        <v>1157</v>
      </c>
      <c r="D20" s="434" t="s">
        <v>1150</v>
      </c>
      <c r="E20" s="54">
        <v>-14</v>
      </c>
      <c r="F20" s="429"/>
      <c r="G20" s="14" t="s">
        <v>1656</v>
      </c>
      <c r="H20" s="14" t="str">
        <f t="shared" si="0"/>
        <v>gross di-atomic</v>
      </c>
      <c r="I20" s="14" t="s">
        <v>1598</v>
      </c>
      <c r="J20" s="14" t="s">
        <v>1464</v>
      </c>
      <c r="K20" s="14" t="s">
        <v>1465</v>
      </c>
    </row>
    <row r="21" spans="1:15" x14ac:dyDescent="0.2">
      <c r="A21" s="433">
        <v>2</v>
      </c>
      <c r="B21" s="440" t="s">
        <v>1173</v>
      </c>
      <c r="C21" s="434" t="s">
        <v>1158</v>
      </c>
      <c r="D21" s="434" t="s">
        <v>1151</v>
      </c>
      <c r="E21" s="54">
        <v>-13</v>
      </c>
      <c r="F21" s="429"/>
      <c r="G21" s="14" t="s">
        <v>1657</v>
      </c>
      <c r="H21" s="14" t="str">
        <f t="shared" si="0"/>
        <v>doz gross di-atomic</v>
      </c>
      <c r="I21" s="14" t="s">
        <v>1599</v>
      </c>
      <c r="J21" s="14" t="s">
        <v>1466</v>
      </c>
      <c r="K21" s="14" t="s">
        <v>1467</v>
      </c>
    </row>
    <row r="22" spans="1:15" x14ac:dyDescent="0.2">
      <c r="A22" s="433">
        <v>3</v>
      </c>
      <c r="B22" s="440" t="s">
        <v>1174</v>
      </c>
      <c r="C22" s="434" t="s">
        <v>1541</v>
      </c>
      <c r="D22" s="434"/>
      <c r="E22" s="54">
        <v>-12</v>
      </c>
      <c r="F22" s="429" t="s">
        <v>1124</v>
      </c>
      <c r="G22" s="14" t="s">
        <v>1658</v>
      </c>
      <c r="H22" s="14" t="str">
        <f t="shared" si="0"/>
        <v>atomic sub</v>
      </c>
      <c r="I22" s="14" t="s">
        <v>1110</v>
      </c>
      <c r="J22" s="14" t="s">
        <v>1110</v>
      </c>
      <c r="K22" s="14" t="s">
        <v>1027</v>
      </c>
    </row>
    <row r="23" spans="1:15" x14ac:dyDescent="0.2">
      <c r="A23" s="433">
        <f>A21*2</f>
        <v>4</v>
      </c>
      <c r="B23" s="440" t="s">
        <v>1175</v>
      </c>
      <c r="C23" s="434" t="s">
        <v>1437</v>
      </c>
      <c r="D23" s="434" t="s">
        <v>1440</v>
      </c>
      <c r="E23" s="54">
        <v>-11</v>
      </c>
      <c r="F23" s="429"/>
      <c r="G23" s="14" t="s">
        <v>1659</v>
      </c>
      <c r="H23" s="14" t="str">
        <f t="shared" si="0"/>
        <v>terno atomic</v>
      </c>
      <c r="I23" s="14" t="s">
        <v>1600</v>
      </c>
      <c r="J23" s="14" t="s">
        <v>1142</v>
      </c>
      <c r="K23" s="14" t="s">
        <v>1026</v>
      </c>
    </row>
    <row r="24" spans="1:15" x14ac:dyDescent="0.2">
      <c r="A24" s="433" t="s">
        <v>1409</v>
      </c>
      <c r="B24" s="440" t="s">
        <v>1412</v>
      </c>
      <c r="C24" s="434" t="s">
        <v>1438</v>
      </c>
      <c r="D24" s="434"/>
      <c r="E24" s="54">
        <v>-10</v>
      </c>
      <c r="F24" s="429"/>
      <c r="G24" s="14" t="s">
        <v>1660</v>
      </c>
      <c r="H24" s="14" t="str">
        <f t="shared" si="0"/>
        <v>dino atomic</v>
      </c>
      <c r="I24" s="14" t="s">
        <v>1601</v>
      </c>
      <c r="J24" s="14" t="s">
        <v>1145</v>
      </c>
      <c r="K24" s="14" t="s">
        <v>1025</v>
      </c>
    </row>
    <row r="25" spans="1:15" x14ac:dyDescent="0.2">
      <c r="A25" s="433" t="s">
        <v>1410</v>
      </c>
      <c r="B25" s="440" t="s">
        <v>1413</v>
      </c>
      <c r="C25" s="434" t="s">
        <v>1439</v>
      </c>
      <c r="D25" s="434"/>
      <c r="E25" s="54">
        <v>-9</v>
      </c>
      <c r="F25" s="429"/>
      <c r="G25" s="14" t="s">
        <v>1661</v>
      </c>
      <c r="H25" s="14" t="str">
        <f t="shared" si="0"/>
        <v>unino atomic</v>
      </c>
      <c r="I25" s="14" t="s">
        <v>1602</v>
      </c>
      <c r="J25" s="14" t="s">
        <v>1255</v>
      </c>
      <c r="K25" s="14" t="s">
        <v>1024</v>
      </c>
    </row>
    <row r="26" spans="1:15" x14ac:dyDescent="0.2">
      <c r="A26" s="433" t="s">
        <v>1411</v>
      </c>
      <c r="B26" s="440" t="s">
        <v>1414</v>
      </c>
      <c r="C26" s="434" t="s">
        <v>1542</v>
      </c>
      <c r="D26" s="434"/>
      <c r="E26" s="54">
        <v>-8</v>
      </c>
      <c r="F26" s="429" t="s">
        <v>1125</v>
      </c>
      <c r="G26" s="14" t="s">
        <v>1662</v>
      </c>
      <c r="H26" s="14" t="str">
        <f t="shared" si="0"/>
        <v>atomic</v>
      </c>
      <c r="I26" s="14" t="s">
        <v>211</v>
      </c>
      <c r="J26" s="14" t="s">
        <v>211</v>
      </c>
      <c r="K26" s="14" t="s">
        <v>211</v>
      </c>
    </row>
    <row r="27" spans="1:15" x14ac:dyDescent="0.2">
      <c r="A27" s="432">
        <f>A23*2</f>
        <v>8</v>
      </c>
      <c r="B27" s="438" t="s">
        <v>1729</v>
      </c>
      <c r="C27" s="439" t="s">
        <v>1543</v>
      </c>
      <c r="D27" s="439"/>
      <c r="E27" s="54">
        <v>-7</v>
      </c>
      <c r="F27" s="429"/>
      <c r="G27" s="14" t="s">
        <v>1663</v>
      </c>
      <c r="H27" s="14" t="str">
        <f t="shared" si="0"/>
        <v>dozen atomic</v>
      </c>
      <c r="I27" s="14" t="s">
        <v>1603</v>
      </c>
      <c r="J27" s="14" t="s">
        <v>1372</v>
      </c>
      <c r="K27" s="14" t="s">
        <v>1023</v>
      </c>
    </row>
    <row r="28" spans="1:15" x14ac:dyDescent="0.2">
      <c r="A28" s="432">
        <f t="shared" ref="A28:A35" si="1">A27*2</f>
        <v>16</v>
      </c>
      <c r="B28" s="438" t="s">
        <v>1730</v>
      </c>
      <c r="C28" s="439" t="s">
        <v>1544</v>
      </c>
      <c r="D28" s="439"/>
      <c r="E28" s="54">
        <v>-6</v>
      </c>
      <c r="F28" s="429"/>
      <c r="G28" s="14" t="s">
        <v>1664</v>
      </c>
      <c r="H28" s="14" t="str">
        <f t="shared" si="0"/>
        <v>gross atomic</v>
      </c>
      <c r="I28" s="14" t="s">
        <v>1604</v>
      </c>
      <c r="J28" s="14" t="s">
        <v>1260</v>
      </c>
      <c r="K28" s="14" t="s">
        <v>1022</v>
      </c>
    </row>
    <row r="29" spans="1:15" x14ac:dyDescent="0.2">
      <c r="A29" s="432" t="s">
        <v>1415</v>
      </c>
      <c r="B29" s="438" t="s">
        <v>1731</v>
      </c>
      <c r="C29" s="439" t="s">
        <v>1545</v>
      </c>
      <c r="D29" s="439"/>
      <c r="E29" s="54">
        <v>-5</v>
      </c>
      <c r="F29" s="429"/>
      <c r="G29" s="14" t="s">
        <v>1665</v>
      </c>
      <c r="H29" s="14" t="str">
        <f t="shared" si="0"/>
        <v>doz gross atomic</v>
      </c>
      <c r="I29" s="14" t="s">
        <v>1605</v>
      </c>
      <c r="J29" s="14" t="s">
        <v>1263</v>
      </c>
      <c r="K29" s="14" t="s">
        <v>1021</v>
      </c>
      <c r="N29" s="54" t="s">
        <v>1058</v>
      </c>
      <c r="O29" s="54" t="s">
        <v>1059</v>
      </c>
    </row>
    <row r="30" spans="1:15" x14ac:dyDescent="0.2">
      <c r="A30" s="432">
        <f>A28*2</f>
        <v>32</v>
      </c>
      <c r="B30" s="438" t="s">
        <v>1732</v>
      </c>
      <c r="C30" s="439" t="s">
        <v>1546</v>
      </c>
      <c r="D30" s="439"/>
      <c r="E30" s="54">
        <v>-4</v>
      </c>
      <c r="F30" s="429" t="s">
        <v>1126</v>
      </c>
      <c r="G30" s="14" t="s">
        <v>1666</v>
      </c>
      <c r="H30" s="14" t="str">
        <f t="shared" si="0"/>
        <v>sub</v>
      </c>
      <c r="I30" s="14" t="s">
        <v>1111</v>
      </c>
      <c r="J30" s="14" t="s">
        <v>1111</v>
      </c>
      <c r="K30" s="14" t="s">
        <v>1017</v>
      </c>
      <c r="L30" s="14" t="s">
        <v>101</v>
      </c>
      <c r="M30" s="54">
        <v>4</v>
      </c>
      <c r="N30" s="54" t="s">
        <v>1017</v>
      </c>
      <c r="O30" s="54" t="s">
        <v>1051</v>
      </c>
    </row>
    <row r="31" spans="1:15" x14ac:dyDescent="0.2">
      <c r="A31" s="432" t="s">
        <v>1416</v>
      </c>
      <c r="B31" s="438" t="s">
        <v>1733</v>
      </c>
      <c r="C31" s="439" t="s">
        <v>1547</v>
      </c>
      <c r="D31" s="439"/>
      <c r="E31" s="54">
        <v>-3</v>
      </c>
      <c r="F31" s="429"/>
      <c r="G31" s="14" t="s">
        <v>1667</v>
      </c>
      <c r="H31" s="14" t="str">
        <f t="shared" si="0"/>
        <v>terno</v>
      </c>
      <c r="I31" s="14" t="s">
        <v>1606</v>
      </c>
      <c r="J31" s="14" t="s">
        <v>1143</v>
      </c>
      <c r="K31" s="14" t="s">
        <v>1016</v>
      </c>
      <c r="L31" s="14" t="s">
        <v>100</v>
      </c>
      <c r="M31" s="54">
        <v>3</v>
      </c>
      <c r="N31" s="54" t="s">
        <v>1016</v>
      </c>
      <c r="O31" s="54" t="s">
        <v>1052</v>
      </c>
    </row>
    <row r="32" spans="1:15" x14ac:dyDescent="0.2">
      <c r="A32" s="432" t="s">
        <v>1417</v>
      </c>
      <c r="B32" s="438" t="s">
        <v>1734</v>
      </c>
      <c r="C32" s="439" t="s">
        <v>1548</v>
      </c>
      <c r="D32" s="439"/>
      <c r="E32" s="54">
        <v>-2</v>
      </c>
      <c r="F32" s="429"/>
      <c r="G32" s="14" t="s">
        <v>1668</v>
      </c>
      <c r="H32" s="14" t="str">
        <f t="shared" si="0"/>
        <v>dino</v>
      </c>
      <c r="I32" s="14" t="s">
        <v>1607</v>
      </c>
      <c r="J32" s="14" t="s">
        <v>1146</v>
      </c>
      <c r="K32" s="14" t="s">
        <v>1015</v>
      </c>
      <c r="L32" s="14" t="s">
        <v>99</v>
      </c>
      <c r="M32" s="54">
        <v>2</v>
      </c>
      <c r="N32" s="54" t="s">
        <v>1015</v>
      </c>
      <c r="O32" s="54" t="s">
        <v>1053</v>
      </c>
    </row>
    <row r="33" spans="1:15" x14ac:dyDescent="0.2">
      <c r="A33" s="432" t="s">
        <v>1418</v>
      </c>
      <c r="B33" s="438" t="s">
        <v>1735</v>
      </c>
      <c r="C33" s="439" t="s">
        <v>1549</v>
      </c>
      <c r="D33" s="439"/>
      <c r="E33" s="54">
        <v>-1</v>
      </c>
      <c r="F33" s="429"/>
      <c r="G33" s="14" t="s">
        <v>1669</v>
      </c>
      <c r="H33" s="14" t="str">
        <f t="shared" si="0"/>
        <v>unino</v>
      </c>
      <c r="I33" s="14" t="s">
        <v>1608</v>
      </c>
      <c r="J33" s="14" t="s">
        <v>1256</v>
      </c>
      <c r="K33" s="14" t="s">
        <v>1014</v>
      </c>
      <c r="L33" s="14" t="s">
        <v>1036</v>
      </c>
      <c r="M33" s="54">
        <v>1</v>
      </c>
      <c r="N33" s="54" t="s">
        <v>1014</v>
      </c>
      <c r="O33" s="54" t="s">
        <v>1054</v>
      </c>
    </row>
    <row r="34" spans="1:15" x14ac:dyDescent="0.2">
      <c r="A34" s="433">
        <f>A30*2</f>
        <v>64</v>
      </c>
      <c r="B34" s="440" t="s">
        <v>1736</v>
      </c>
      <c r="C34" s="434" t="s">
        <v>1550</v>
      </c>
      <c r="D34" s="434"/>
      <c r="E34" s="54">
        <v>0</v>
      </c>
      <c r="F34" s="430"/>
      <c r="G34" s="55"/>
      <c r="H34" s="55" t="s">
        <v>104</v>
      </c>
      <c r="I34" s="55" t="s">
        <v>104</v>
      </c>
      <c r="J34" s="55" t="s">
        <v>104</v>
      </c>
      <c r="K34" s="55" t="s">
        <v>1037</v>
      </c>
      <c r="N34" s="326" t="s">
        <v>1037</v>
      </c>
      <c r="O34" s="326" t="s">
        <v>1037</v>
      </c>
    </row>
    <row r="35" spans="1:15" x14ac:dyDescent="0.2">
      <c r="A35" s="433">
        <f t="shared" si="1"/>
        <v>128</v>
      </c>
      <c r="B35" s="440" t="s">
        <v>1737</v>
      </c>
      <c r="C35" s="434" t="s">
        <v>1551</v>
      </c>
      <c r="D35" s="434"/>
      <c r="E35" s="54">
        <v>1</v>
      </c>
      <c r="F35" s="429"/>
      <c r="G35" s="14" t="s">
        <v>1670</v>
      </c>
      <c r="H35" s="14" t="str">
        <f t="shared" ref="H35:H75" si="2">IF($H$1="I", I35,IF($H$1="J",J35,K35))</f>
        <v>dozen</v>
      </c>
      <c r="I35" s="14" t="s">
        <v>1609</v>
      </c>
      <c r="J35" s="14" t="s">
        <v>1373</v>
      </c>
      <c r="K35" s="14" t="s">
        <v>1020</v>
      </c>
      <c r="L35" s="14" t="s">
        <v>98</v>
      </c>
      <c r="M35" s="54">
        <v>1</v>
      </c>
      <c r="N35" s="54" t="s">
        <v>1020</v>
      </c>
      <c r="O35" s="54" t="s">
        <v>1055</v>
      </c>
    </row>
    <row r="36" spans="1:15" x14ac:dyDescent="0.2">
      <c r="A36" s="431"/>
      <c r="B36" s="436"/>
      <c r="C36" s="524" t="s">
        <v>1445</v>
      </c>
      <c r="D36" s="437"/>
      <c r="E36" s="54">
        <v>2</v>
      </c>
      <c r="F36" s="429"/>
      <c r="G36" s="14" t="s">
        <v>1671</v>
      </c>
      <c r="H36" s="14" t="str">
        <f t="shared" si="2"/>
        <v>gross</v>
      </c>
      <c r="I36" s="14" t="s">
        <v>1610</v>
      </c>
      <c r="J36" s="14" t="s">
        <v>1261</v>
      </c>
      <c r="K36" s="14" t="s">
        <v>1019</v>
      </c>
      <c r="L36" s="14" t="s">
        <v>103</v>
      </c>
      <c r="M36" s="54">
        <v>7</v>
      </c>
      <c r="N36" s="54" t="s">
        <v>1019</v>
      </c>
      <c r="O36" s="54" t="s">
        <v>1056</v>
      </c>
    </row>
    <row r="37" spans="1:15" x14ac:dyDescent="0.2">
      <c r="A37" s="431"/>
      <c r="B37" s="436"/>
      <c r="C37" s="523"/>
      <c r="D37" s="437"/>
      <c r="E37" s="54">
        <v>3</v>
      </c>
      <c r="F37" s="429"/>
      <c r="G37" s="14" t="s">
        <v>1672</v>
      </c>
      <c r="H37" s="14" t="str">
        <f t="shared" si="2"/>
        <v>doz gross</v>
      </c>
      <c r="I37" s="14" t="s">
        <v>1541</v>
      </c>
      <c r="J37" s="14" t="s">
        <v>1268</v>
      </c>
      <c r="K37" s="14" t="s">
        <v>1269</v>
      </c>
      <c r="L37" s="14" t="s">
        <v>1265</v>
      </c>
      <c r="M37" s="54">
        <v>6</v>
      </c>
      <c r="N37" s="54" t="s">
        <v>1266</v>
      </c>
      <c r="O37" s="54" t="s">
        <v>1267</v>
      </c>
    </row>
    <row r="38" spans="1:15" x14ac:dyDescent="0.2">
      <c r="A38" s="431"/>
      <c r="B38" s="436"/>
      <c r="C38" s="523"/>
      <c r="D38" s="437"/>
      <c r="E38" s="54">
        <v>4</v>
      </c>
      <c r="F38" s="429" t="s">
        <v>1127</v>
      </c>
      <c r="G38" s="14" t="s">
        <v>1673</v>
      </c>
      <c r="H38" s="14" t="str">
        <f t="shared" si="2"/>
        <v>hyper</v>
      </c>
      <c r="I38" s="14" t="s">
        <v>1745</v>
      </c>
      <c r="J38" s="14" t="s">
        <v>1745</v>
      </c>
      <c r="K38" s="14" t="s">
        <v>1018</v>
      </c>
      <c r="L38" s="14" t="s">
        <v>102</v>
      </c>
      <c r="M38" s="54">
        <v>5</v>
      </c>
      <c r="N38" s="54" t="s">
        <v>1018</v>
      </c>
      <c r="O38" s="54" t="s">
        <v>1057</v>
      </c>
    </row>
    <row r="39" spans="1:15" x14ac:dyDescent="0.2">
      <c r="A39" s="442" t="s">
        <v>1179</v>
      </c>
      <c r="B39" s="138" t="s">
        <v>1180</v>
      </c>
      <c r="C39" s="658" t="s">
        <v>1188</v>
      </c>
      <c r="D39" s="658"/>
      <c r="E39" s="54">
        <v>5</v>
      </c>
      <c r="F39" s="429"/>
      <c r="G39" s="14" t="s">
        <v>1674</v>
      </c>
      <c r="H39" s="14" t="str">
        <f t="shared" si="2"/>
        <v>terno cosmic</v>
      </c>
      <c r="I39" s="14" t="s">
        <v>1611</v>
      </c>
      <c r="J39" s="14" t="s">
        <v>1144</v>
      </c>
      <c r="K39" s="14" t="s">
        <v>1028</v>
      </c>
    </row>
    <row r="40" spans="1:15" x14ac:dyDescent="0.2">
      <c r="A40" s="442" t="s">
        <v>1177</v>
      </c>
      <c r="B40" s="138" t="s">
        <v>1178</v>
      </c>
      <c r="C40" s="658"/>
      <c r="D40" s="658"/>
      <c r="E40" s="54">
        <v>6</v>
      </c>
      <c r="F40" s="429"/>
      <c r="G40" s="14" t="s">
        <v>1675</v>
      </c>
      <c r="H40" s="14" t="str">
        <f t="shared" si="2"/>
        <v>dino cosmic</v>
      </c>
      <c r="I40" s="14" t="s">
        <v>1612</v>
      </c>
      <c r="J40" s="14" t="s">
        <v>1147</v>
      </c>
      <c r="K40" s="14" t="s">
        <v>1029</v>
      </c>
    </row>
    <row r="41" spans="1:15" x14ac:dyDescent="0.2">
      <c r="A41" s="442" t="s">
        <v>1176</v>
      </c>
      <c r="B41" s="138" t="s">
        <v>1870</v>
      </c>
      <c r="C41" s="658"/>
      <c r="D41" s="658"/>
      <c r="E41" s="54">
        <v>7</v>
      </c>
      <c r="F41" s="429"/>
      <c r="G41" s="14" t="s">
        <v>1676</v>
      </c>
      <c r="H41" s="14" t="str">
        <f t="shared" si="2"/>
        <v>unino cosmic</v>
      </c>
      <c r="I41" s="14" t="s">
        <v>1613</v>
      </c>
      <c r="J41" s="14" t="s">
        <v>1257</v>
      </c>
      <c r="K41" s="14" t="s">
        <v>1030</v>
      </c>
    </row>
    <row r="42" spans="1:15" x14ac:dyDescent="0.2">
      <c r="A42" s="442" t="s">
        <v>1185</v>
      </c>
      <c r="B42" s="138" t="s">
        <v>1181</v>
      </c>
      <c r="E42" s="54">
        <v>8</v>
      </c>
      <c r="F42" s="429" t="s">
        <v>1128</v>
      </c>
      <c r="G42" s="14" t="s">
        <v>1677</v>
      </c>
      <c r="H42" s="14" t="str">
        <f t="shared" si="2"/>
        <v>cosmic</v>
      </c>
      <c r="I42" s="14" t="s">
        <v>212</v>
      </c>
      <c r="J42" s="14" t="s">
        <v>212</v>
      </c>
      <c r="K42" s="14" t="s">
        <v>1035</v>
      </c>
    </row>
    <row r="43" spans="1:15" x14ac:dyDescent="0.2">
      <c r="A43" s="54" t="s">
        <v>1182</v>
      </c>
      <c r="B43" s="138" t="s">
        <v>1216</v>
      </c>
      <c r="C43" s="14" t="s">
        <v>1217</v>
      </c>
      <c r="E43" s="54">
        <v>9</v>
      </c>
      <c r="F43" s="429"/>
      <c r="G43" s="14" t="s">
        <v>1678</v>
      </c>
      <c r="H43" s="14" t="str">
        <f t="shared" si="2"/>
        <v>dozen cosmic</v>
      </c>
      <c r="I43" s="14" t="s">
        <v>1614</v>
      </c>
      <c r="J43" s="14" t="s">
        <v>1374</v>
      </c>
      <c r="K43" s="14" t="s">
        <v>1031</v>
      </c>
    </row>
    <row r="44" spans="1:15" ht="14" x14ac:dyDescent="0.2">
      <c r="A44" s="54" t="s">
        <v>1183</v>
      </c>
      <c r="B44" s="138" t="s">
        <v>1229</v>
      </c>
      <c r="C44" s="14" t="s">
        <v>1186</v>
      </c>
      <c r="E44" s="54">
        <v>10</v>
      </c>
      <c r="F44" s="429"/>
      <c r="G44" s="14" t="s">
        <v>1679</v>
      </c>
      <c r="H44" s="14" t="str">
        <f t="shared" si="2"/>
        <v>gross cosmic</v>
      </c>
      <c r="I44" s="14" t="s">
        <v>1615</v>
      </c>
      <c r="J44" s="14" t="s">
        <v>1262</v>
      </c>
      <c r="K44" s="14" t="s">
        <v>1032</v>
      </c>
    </row>
    <row r="45" spans="1:15" ht="14" x14ac:dyDescent="0.2">
      <c r="A45" s="326" t="s">
        <v>1184</v>
      </c>
      <c r="B45" s="138" t="s">
        <v>1230</v>
      </c>
      <c r="C45" s="14" t="s">
        <v>1187</v>
      </c>
      <c r="E45" s="54">
        <v>11</v>
      </c>
      <c r="F45" s="429"/>
      <c r="G45" s="14" t="s">
        <v>1680</v>
      </c>
      <c r="H45" s="14" t="str">
        <f t="shared" si="2"/>
        <v>doz gross cosmic</v>
      </c>
      <c r="I45" s="14" t="s">
        <v>1616</v>
      </c>
      <c r="J45" s="14" t="s">
        <v>1264</v>
      </c>
      <c r="K45" s="14" t="s">
        <v>1033</v>
      </c>
    </row>
    <row r="46" spans="1:15" x14ac:dyDescent="0.2">
      <c r="A46" s="326" t="s">
        <v>1220</v>
      </c>
      <c r="B46" s="138" t="s">
        <v>1738</v>
      </c>
      <c r="E46" s="54">
        <v>12</v>
      </c>
      <c r="F46" s="429" t="s">
        <v>1129</v>
      </c>
      <c r="G46" s="14" t="s">
        <v>1681</v>
      </c>
      <c r="H46" s="14" t="str">
        <f t="shared" si="2"/>
        <v>cosmic hyper</v>
      </c>
      <c r="I46" s="14" t="s">
        <v>1746</v>
      </c>
      <c r="J46" s="14" t="s">
        <v>1746</v>
      </c>
      <c r="K46" s="14" t="s">
        <v>1034</v>
      </c>
    </row>
    <row r="47" spans="1:15" x14ac:dyDescent="0.2">
      <c r="A47" s="326" t="s">
        <v>1221</v>
      </c>
      <c r="B47" s="138" t="s">
        <v>1224</v>
      </c>
      <c r="E47" s="54">
        <v>13</v>
      </c>
      <c r="F47" s="429"/>
      <c r="G47" s="14" t="s">
        <v>1682</v>
      </c>
      <c r="H47" s="14" t="str">
        <f t="shared" si="2"/>
        <v>terno di-cosmic</v>
      </c>
      <c r="I47" s="14" t="s">
        <v>1617</v>
      </c>
      <c r="J47" s="14" t="s">
        <v>1499</v>
      </c>
      <c r="K47" s="14" t="s">
        <v>1500</v>
      </c>
    </row>
    <row r="48" spans="1:15" x14ac:dyDescent="0.2">
      <c r="A48" s="326" t="s">
        <v>1222</v>
      </c>
      <c r="B48" s="138" t="s">
        <v>1227</v>
      </c>
      <c r="C48" s="14" t="s">
        <v>1711</v>
      </c>
      <c r="E48" s="54">
        <v>14</v>
      </c>
      <c r="F48" s="429"/>
      <c r="G48" s="14" t="s">
        <v>1683</v>
      </c>
      <c r="H48" s="14" t="str">
        <f t="shared" si="2"/>
        <v>dino di-cosmic</v>
      </c>
      <c r="I48" s="14" t="s">
        <v>1618</v>
      </c>
      <c r="J48" s="14" t="s">
        <v>1501</v>
      </c>
      <c r="K48" s="14" t="s">
        <v>1502</v>
      </c>
    </row>
    <row r="49" spans="1:11" x14ac:dyDescent="0.2">
      <c r="A49" s="326" t="s">
        <v>1223</v>
      </c>
      <c r="B49" s="138" t="s">
        <v>1228</v>
      </c>
      <c r="C49" s="14" t="s">
        <v>1712</v>
      </c>
      <c r="E49" s="54">
        <v>15</v>
      </c>
      <c r="F49" s="429"/>
      <c r="G49" s="14" t="s">
        <v>1684</v>
      </c>
      <c r="H49" s="14" t="str">
        <f t="shared" si="2"/>
        <v>unino di-cosmic</v>
      </c>
      <c r="I49" s="14" t="s">
        <v>1619</v>
      </c>
      <c r="J49" s="14" t="s">
        <v>1503</v>
      </c>
      <c r="K49" s="14" t="s">
        <v>1504</v>
      </c>
    </row>
    <row r="50" spans="1:11" x14ac:dyDescent="0.2">
      <c r="A50" s="326" t="s">
        <v>1218</v>
      </c>
      <c r="B50" s="138" t="s">
        <v>1225</v>
      </c>
      <c r="C50" s="55" t="s">
        <v>1341</v>
      </c>
      <c r="E50" s="54">
        <v>16</v>
      </c>
      <c r="F50" s="429" t="s">
        <v>1130</v>
      </c>
      <c r="G50" s="14" t="s">
        <v>1685</v>
      </c>
      <c r="H50" s="14" t="str">
        <f t="shared" si="2"/>
        <v>di-cosmic</v>
      </c>
      <c r="I50" s="14" t="s">
        <v>1505</v>
      </c>
      <c r="J50" s="14" t="s">
        <v>1505</v>
      </c>
      <c r="K50" s="14" t="s">
        <v>1505</v>
      </c>
    </row>
    <row r="51" spans="1:11" x14ac:dyDescent="0.2">
      <c r="A51" s="326" t="s">
        <v>1219</v>
      </c>
      <c r="B51" s="138" t="s">
        <v>1226</v>
      </c>
      <c r="C51" s="55" t="s">
        <v>1342</v>
      </c>
      <c r="E51" s="54">
        <v>17</v>
      </c>
      <c r="F51" s="429"/>
      <c r="G51" s="14" t="s">
        <v>1686</v>
      </c>
      <c r="H51" s="14" t="str">
        <f t="shared" si="2"/>
        <v>dozen di-cosmic</v>
      </c>
      <c r="I51" s="14" t="s">
        <v>1620</v>
      </c>
      <c r="J51" s="14" t="s">
        <v>1506</v>
      </c>
      <c r="K51" s="14" t="s">
        <v>1507</v>
      </c>
    </row>
    <row r="52" spans="1:11" x14ac:dyDescent="0.2">
      <c r="E52" s="54">
        <v>18</v>
      </c>
      <c r="F52" s="429"/>
      <c r="G52" s="14" t="s">
        <v>1687</v>
      </c>
      <c r="H52" s="14" t="str">
        <f t="shared" si="2"/>
        <v>gross di-cosmic</v>
      </c>
      <c r="I52" s="14" t="s">
        <v>1621</v>
      </c>
      <c r="J52" s="14" t="s">
        <v>1508</v>
      </c>
      <c r="K52" s="14" t="s">
        <v>1509</v>
      </c>
    </row>
    <row r="53" spans="1:11" x14ac:dyDescent="0.2">
      <c r="A53" s="326"/>
      <c r="B53" s="443" t="s">
        <v>1570</v>
      </c>
      <c r="E53" s="54">
        <v>19</v>
      </c>
      <c r="F53" s="429"/>
      <c r="G53" s="14" t="s">
        <v>1688</v>
      </c>
      <c r="H53" s="14" t="str">
        <f t="shared" si="2"/>
        <v>doz gross di-cosmic</v>
      </c>
      <c r="I53" s="14" t="s">
        <v>1622</v>
      </c>
      <c r="J53" s="14" t="s">
        <v>1510</v>
      </c>
      <c r="K53" s="14" t="s">
        <v>1511</v>
      </c>
    </row>
    <row r="54" spans="1:11" x14ac:dyDescent="0.2">
      <c r="E54" s="54">
        <v>20</v>
      </c>
      <c r="F54" s="429" t="s">
        <v>1131</v>
      </c>
      <c r="G54" s="14" t="s">
        <v>1689</v>
      </c>
      <c r="H54" s="14" t="str">
        <f t="shared" si="2"/>
        <v>di-cosmic hyper</v>
      </c>
      <c r="I54" s="14" t="s">
        <v>1747</v>
      </c>
      <c r="J54" s="14" t="s">
        <v>1747</v>
      </c>
      <c r="K54" s="14" t="s">
        <v>1512</v>
      </c>
    </row>
    <row r="55" spans="1:11" x14ac:dyDescent="0.2">
      <c r="E55" s="54">
        <v>21</v>
      </c>
      <c r="F55" s="429"/>
      <c r="G55" s="14" t="s">
        <v>1690</v>
      </c>
      <c r="H55" s="14" t="str">
        <f t="shared" si="2"/>
        <v>terno ter-cosmic</v>
      </c>
      <c r="I55" s="14" t="s">
        <v>1623</v>
      </c>
      <c r="J55" s="14" t="s">
        <v>1571</v>
      </c>
      <c r="K55" s="14" t="s">
        <v>1572</v>
      </c>
    </row>
    <row r="56" spans="1:11" x14ac:dyDescent="0.2">
      <c r="E56" s="54">
        <v>22</v>
      </c>
      <c r="F56" s="429"/>
      <c r="G56" s="14" t="s">
        <v>1691</v>
      </c>
      <c r="H56" s="14" t="str">
        <f t="shared" si="2"/>
        <v>dino ter-cosmic</v>
      </c>
      <c r="I56" s="14" t="s">
        <v>1624</v>
      </c>
      <c r="J56" s="14" t="s">
        <v>1573</v>
      </c>
      <c r="K56" s="14" t="s">
        <v>1574</v>
      </c>
    </row>
    <row r="57" spans="1:11" x14ac:dyDescent="0.2">
      <c r="E57" s="54">
        <v>23</v>
      </c>
      <c r="F57" s="429"/>
      <c r="G57" s="14" t="s">
        <v>1692</v>
      </c>
      <c r="H57" s="14" t="str">
        <f t="shared" si="2"/>
        <v>unino ter-cosmic</v>
      </c>
      <c r="I57" s="14" t="s">
        <v>1625</v>
      </c>
      <c r="J57" s="14" t="s">
        <v>1575</v>
      </c>
      <c r="K57" s="14" t="s">
        <v>1576</v>
      </c>
    </row>
    <row r="58" spans="1:11" x14ac:dyDescent="0.2">
      <c r="E58" s="54">
        <v>24</v>
      </c>
      <c r="F58" s="429" t="s">
        <v>1132</v>
      </c>
      <c r="G58" s="14" t="s">
        <v>1693</v>
      </c>
      <c r="H58" s="14" t="str">
        <f t="shared" si="2"/>
        <v>ter-cosmic</v>
      </c>
      <c r="I58" s="14" t="s">
        <v>1577</v>
      </c>
      <c r="J58" s="14" t="s">
        <v>1577</v>
      </c>
      <c r="K58" s="14" t="s">
        <v>1577</v>
      </c>
    </row>
    <row r="59" spans="1:11" x14ac:dyDescent="0.2">
      <c r="E59" s="54">
        <v>25</v>
      </c>
      <c r="F59" s="429"/>
      <c r="G59" s="14" t="s">
        <v>1694</v>
      </c>
      <c r="H59" s="14" t="str">
        <f t="shared" si="2"/>
        <v>dozen ter-cosmic</v>
      </c>
      <c r="I59" s="14" t="s">
        <v>1626</v>
      </c>
      <c r="J59" s="14" t="s">
        <v>1578</v>
      </c>
      <c r="K59" s="14" t="s">
        <v>1579</v>
      </c>
    </row>
    <row r="60" spans="1:11" x14ac:dyDescent="0.2">
      <c r="E60" s="54">
        <v>26</v>
      </c>
      <c r="F60" s="429"/>
      <c r="G60" s="14" t="s">
        <v>1695</v>
      </c>
      <c r="H60" s="14" t="str">
        <f t="shared" si="2"/>
        <v>gross ter-cosmic</v>
      </c>
      <c r="I60" s="14" t="s">
        <v>1627</v>
      </c>
      <c r="J60" s="14" t="s">
        <v>1580</v>
      </c>
      <c r="K60" s="14" t="s">
        <v>1581</v>
      </c>
    </row>
    <row r="61" spans="1:11" x14ac:dyDescent="0.2">
      <c r="E61" s="54">
        <v>27</v>
      </c>
      <c r="F61" s="429"/>
      <c r="G61" s="14" t="s">
        <v>1696</v>
      </c>
      <c r="H61" s="14" t="str">
        <f t="shared" si="2"/>
        <v>doz gross ter-cosmic</v>
      </c>
      <c r="I61" s="14" t="s">
        <v>1628</v>
      </c>
      <c r="J61" s="14" t="s">
        <v>1582</v>
      </c>
      <c r="K61" s="14" t="s">
        <v>1583</v>
      </c>
    </row>
    <row r="62" spans="1:11" x14ac:dyDescent="0.2">
      <c r="E62" s="54">
        <v>28</v>
      </c>
      <c r="F62" s="429" t="s">
        <v>1133</v>
      </c>
      <c r="G62" s="14" t="s">
        <v>1697</v>
      </c>
      <c r="H62" s="14" t="str">
        <f t="shared" si="2"/>
        <v>ter-cosmic hyper</v>
      </c>
      <c r="I62" s="14" t="s">
        <v>1748</v>
      </c>
      <c r="J62" s="14" t="s">
        <v>1748</v>
      </c>
      <c r="K62" s="14" t="s">
        <v>1584</v>
      </c>
    </row>
    <row r="63" spans="1:11" x14ac:dyDescent="0.2">
      <c r="E63" s="54">
        <v>29</v>
      </c>
      <c r="F63" s="429"/>
      <c r="G63" s="14" t="s">
        <v>1698</v>
      </c>
      <c r="H63" s="14" t="str">
        <f t="shared" si="2"/>
        <v>terno tetra-cosmic</v>
      </c>
      <c r="I63" s="14" t="s">
        <v>1629</v>
      </c>
      <c r="J63" s="14" t="s">
        <v>1484</v>
      </c>
      <c r="K63" s="14" t="s">
        <v>1485</v>
      </c>
    </row>
    <row r="64" spans="1:11" x14ac:dyDescent="0.2">
      <c r="E64" s="54">
        <v>30</v>
      </c>
      <c r="F64" s="429"/>
      <c r="G64" s="14" t="s">
        <v>1699</v>
      </c>
      <c r="H64" s="14" t="str">
        <f t="shared" si="2"/>
        <v>dino tetra-cosmic</v>
      </c>
      <c r="I64" s="14" t="s">
        <v>1630</v>
      </c>
      <c r="J64" s="14" t="s">
        <v>1486</v>
      </c>
      <c r="K64" s="14" t="s">
        <v>1487</v>
      </c>
    </row>
    <row r="65" spans="5:11" x14ac:dyDescent="0.2">
      <c r="E65" s="54">
        <v>31</v>
      </c>
      <c r="F65" s="429"/>
      <c r="G65" s="14" t="s">
        <v>1700</v>
      </c>
      <c r="H65" s="14" t="str">
        <f t="shared" si="2"/>
        <v>unino tetra-cosmic</v>
      </c>
      <c r="I65" s="14" t="s">
        <v>1631</v>
      </c>
      <c r="J65" s="14" t="s">
        <v>1488</v>
      </c>
      <c r="K65" s="14" t="s">
        <v>1489</v>
      </c>
    </row>
    <row r="66" spans="5:11" x14ac:dyDescent="0.2">
      <c r="E66" s="54">
        <v>32</v>
      </c>
      <c r="F66" s="429" t="s">
        <v>1134</v>
      </c>
      <c r="G66" s="14" t="s">
        <v>1701</v>
      </c>
      <c r="H66" s="14" t="str">
        <f t="shared" si="2"/>
        <v>tetra-cosmic</v>
      </c>
      <c r="I66" s="14" t="s">
        <v>1490</v>
      </c>
      <c r="J66" s="14" t="s">
        <v>1490</v>
      </c>
      <c r="K66" s="14" t="s">
        <v>1490</v>
      </c>
    </row>
    <row r="67" spans="5:11" x14ac:dyDescent="0.2">
      <c r="E67" s="54">
        <v>33</v>
      </c>
      <c r="F67" s="429"/>
      <c r="G67" s="14" t="s">
        <v>1702</v>
      </c>
      <c r="H67" s="14" t="str">
        <f t="shared" si="2"/>
        <v>dozen tetra-cosmic</v>
      </c>
      <c r="I67" s="14" t="s">
        <v>1632</v>
      </c>
      <c r="J67" s="14" t="s">
        <v>1491</v>
      </c>
      <c r="K67" s="14" t="s">
        <v>1492</v>
      </c>
    </row>
    <row r="68" spans="5:11" x14ac:dyDescent="0.2">
      <c r="E68" s="54">
        <v>34</v>
      </c>
      <c r="F68" s="429"/>
      <c r="G68" s="14" t="s">
        <v>1703</v>
      </c>
      <c r="H68" s="14" t="str">
        <f t="shared" si="2"/>
        <v>gross tetra-cosmic</v>
      </c>
      <c r="I68" s="14" t="s">
        <v>1633</v>
      </c>
      <c r="J68" s="14" t="s">
        <v>1493</v>
      </c>
      <c r="K68" s="14" t="s">
        <v>1494</v>
      </c>
    </row>
    <row r="69" spans="5:11" x14ac:dyDescent="0.2">
      <c r="E69" s="54">
        <v>35</v>
      </c>
      <c r="F69" s="429"/>
      <c r="G69" s="14" t="s">
        <v>1704</v>
      </c>
      <c r="H69" s="14" t="str">
        <f t="shared" si="2"/>
        <v>doz gross tetra-cosmic</v>
      </c>
      <c r="I69" s="14" t="s">
        <v>1634</v>
      </c>
      <c r="J69" s="14" t="s">
        <v>1495</v>
      </c>
      <c r="K69" s="14" t="s">
        <v>1496</v>
      </c>
    </row>
    <row r="70" spans="5:11" x14ac:dyDescent="0.2">
      <c r="E70" s="54">
        <v>36</v>
      </c>
      <c r="F70" s="429" t="s">
        <v>1135</v>
      </c>
      <c r="G70" s="14" t="s">
        <v>1705</v>
      </c>
      <c r="H70" s="14" t="str">
        <f t="shared" si="2"/>
        <v>tetra-cosmic hyper</v>
      </c>
      <c r="I70" s="14" t="s">
        <v>1749</v>
      </c>
      <c r="J70" s="14" t="s">
        <v>1749</v>
      </c>
      <c r="K70" s="14" t="s">
        <v>1497</v>
      </c>
    </row>
    <row r="71" spans="5:11" x14ac:dyDescent="0.2">
      <c r="E71" s="54">
        <v>37</v>
      </c>
      <c r="F71" s="429"/>
      <c r="G71" s="14" t="s">
        <v>1706</v>
      </c>
      <c r="H71" s="14" t="str">
        <f t="shared" si="2"/>
        <v>terno penta-cosmic</v>
      </c>
      <c r="I71" s="14" t="s">
        <v>1635</v>
      </c>
      <c r="J71" s="14" t="s">
        <v>1475</v>
      </c>
      <c r="K71" s="14" t="s">
        <v>1476</v>
      </c>
    </row>
    <row r="72" spans="5:11" x14ac:dyDescent="0.2">
      <c r="E72" s="54">
        <v>38</v>
      </c>
      <c r="F72" s="429"/>
      <c r="G72" s="14" t="s">
        <v>1707</v>
      </c>
      <c r="H72" s="14" t="str">
        <f t="shared" si="2"/>
        <v>dino penta-cosmic</v>
      </c>
      <c r="I72" s="14" t="s">
        <v>1636</v>
      </c>
      <c r="J72" s="14" t="s">
        <v>1477</v>
      </c>
      <c r="K72" s="14" t="s">
        <v>1478</v>
      </c>
    </row>
    <row r="73" spans="5:11" x14ac:dyDescent="0.2">
      <c r="E73" s="54">
        <v>39</v>
      </c>
      <c r="F73" s="429"/>
      <c r="G73" s="14" t="s">
        <v>1708</v>
      </c>
      <c r="H73" s="14" t="str">
        <f t="shared" si="2"/>
        <v>unino penta-cosmic</v>
      </c>
      <c r="I73" s="14" t="s">
        <v>1637</v>
      </c>
      <c r="J73" s="14" t="s">
        <v>1479</v>
      </c>
      <c r="K73" s="14" t="s">
        <v>1480</v>
      </c>
    </row>
    <row r="74" spans="5:11" x14ac:dyDescent="0.2">
      <c r="E74" s="54">
        <v>40</v>
      </c>
      <c r="F74" s="429" t="s">
        <v>1136</v>
      </c>
      <c r="G74" s="14" t="s">
        <v>1709</v>
      </c>
      <c r="H74" s="14" t="str">
        <f t="shared" si="2"/>
        <v>penta-cosmic</v>
      </c>
      <c r="I74" s="14" t="s">
        <v>1739</v>
      </c>
      <c r="J74" s="14" t="s">
        <v>1481</v>
      </c>
      <c r="K74" s="14" t="s">
        <v>1481</v>
      </c>
    </row>
    <row r="75" spans="5:11" x14ac:dyDescent="0.2">
      <c r="E75" s="54">
        <v>41</v>
      </c>
      <c r="F75" s="429" t="s">
        <v>1137</v>
      </c>
      <c r="G75" s="14" t="s">
        <v>1710</v>
      </c>
      <c r="H75" s="14" t="str">
        <f t="shared" si="2"/>
        <v>dozen penta-cosmic</v>
      </c>
      <c r="I75" s="14" t="s">
        <v>1740</v>
      </c>
      <c r="J75" s="14" t="s">
        <v>1482</v>
      </c>
      <c r="K75" s="14" t="s">
        <v>1483</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1.5" x14ac:dyDescent="0.2"/>
  <cols>
    <col min="1" max="1" width="21.7265625" style="214" customWidth="1"/>
    <col min="2" max="2" width="4.36328125" style="214" customWidth="1"/>
    <col min="3" max="3" width="22.36328125" style="214" customWidth="1"/>
    <col min="4" max="4" width="27.6328125" style="214" customWidth="1"/>
    <col min="5" max="5" width="26.1796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1821</v>
      </c>
      <c r="B2" s="216" t="s">
        <v>110</v>
      </c>
      <c r="C2" s="217" t="s">
        <v>236</v>
      </c>
      <c r="D2" s="217" t="s">
        <v>237</v>
      </c>
      <c r="E2" s="217" t="s">
        <v>1792</v>
      </c>
    </row>
    <row r="3" spans="1:5" ht="24.75" customHeight="1" x14ac:dyDescent="0.2">
      <c r="A3" s="215" t="s">
        <v>1822</v>
      </c>
      <c r="B3" s="216" t="s">
        <v>110</v>
      </c>
      <c r="C3" s="216" t="s">
        <v>239</v>
      </c>
      <c r="D3" s="215" t="s">
        <v>256</v>
      </c>
      <c r="E3" s="216" t="s">
        <v>578</v>
      </c>
    </row>
    <row r="4" spans="1:5" ht="23" x14ac:dyDescent="0.2">
      <c r="A4" s="215" t="s">
        <v>251</v>
      </c>
      <c r="B4" s="216" t="s">
        <v>110</v>
      </c>
      <c r="C4" s="216" t="s">
        <v>252</v>
      </c>
      <c r="D4" s="216" t="s">
        <v>253</v>
      </c>
      <c r="E4" s="216" t="s">
        <v>1823</v>
      </c>
    </row>
    <row r="5" spans="1:5" ht="24.75" customHeight="1" x14ac:dyDescent="0.2">
      <c r="A5" s="215" t="s">
        <v>240</v>
      </c>
      <c r="B5" s="216" t="s">
        <v>110</v>
      </c>
      <c r="C5" s="216" t="s">
        <v>241</v>
      </c>
      <c r="D5" s="216" t="s">
        <v>242</v>
      </c>
      <c r="E5" s="216" t="s">
        <v>1824</v>
      </c>
    </row>
    <row r="6" spans="1:5" x14ac:dyDescent="0.2">
      <c r="A6" s="215" t="s">
        <v>246</v>
      </c>
      <c r="B6" s="216" t="s">
        <v>110</v>
      </c>
      <c r="C6" s="216" t="s">
        <v>243</v>
      </c>
      <c r="D6" s="216" t="s">
        <v>244</v>
      </c>
      <c r="E6" s="216" t="s">
        <v>245</v>
      </c>
    </row>
    <row r="7" spans="1:5" x14ac:dyDescent="0.2">
      <c r="A7" s="215" t="s">
        <v>247</v>
      </c>
      <c r="B7" s="215" t="s">
        <v>57</v>
      </c>
      <c r="C7" s="218">
        <f>Rydberg!F3</f>
        <v>0.2721028832766943</v>
      </c>
      <c r="D7" s="218">
        <f>Clock!F3</f>
        <v>0.27235212567339145</v>
      </c>
      <c r="E7" s="218">
        <f>Clock_by_Rydberg!F3</f>
        <v>0.27235220594173376</v>
      </c>
    </row>
    <row r="8" spans="1:5" x14ac:dyDescent="0.2">
      <c r="A8" s="215" t="s">
        <v>250</v>
      </c>
      <c r="B8" s="215" t="s">
        <v>56</v>
      </c>
      <c r="C8" s="218">
        <f>Rydberg!F4</f>
        <v>0.39026752046511809</v>
      </c>
      <c r="D8" s="218">
        <f>Clock!F4</f>
        <v>0.390625</v>
      </c>
      <c r="E8" s="218">
        <f>Clock_by_Rydberg!F4</f>
        <v>0.39062511512603815</v>
      </c>
    </row>
    <row r="9" spans="1:5" x14ac:dyDescent="0.2">
      <c r="A9" s="215" t="s">
        <v>248</v>
      </c>
      <c r="B9" s="215" t="s">
        <v>61</v>
      </c>
      <c r="C9" s="218">
        <f>Rydberg!F8</f>
        <v>0.13195008193971713</v>
      </c>
      <c r="D9" s="218">
        <f>Clock!F8</f>
        <v>0.13182932813768336</v>
      </c>
      <c r="E9" s="218">
        <f>Clock_by_Rydberg!F8</f>
        <v>0.13182928928460486</v>
      </c>
    </row>
    <row r="10" spans="1: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328125" defaultRowHeight="11" x14ac:dyDescent="0.2"/>
  <cols>
    <col min="1" max="4" width="15.6328125" style="1"/>
    <col min="5" max="5" width="7.81640625" style="1" customWidth="1"/>
    <col min="6" max="6" width="8.26953125" style="1" customWidth="1"/>
    <col min="7" max="7" width="7.36328125" style="1" customWidth="1"/>
    <col min="8" max="8" width="8.1796875" style="1" customWidth="1"/>
    <col min="9" max="10" width="8.6328125" style="1" customWidth="1"/>
    <col min="11" max="16384" width="15.6328125" style="1"/>
  </cols>
  <sheetData>
    <row r="1" spans="1:10" ht="11.5" x14ac:dyDescent="0.2">
      <c r="A1" s="8"/>
      <c r="B1" s="9" t="s">
        <v>86</v>
      </c>
      <c r="C1" s="10" t="s">
        <v>89</v>
      </c>
      <c r="D1" s="9" t="s">
        <v>85</v>
      </c>
      <c r="E1" s="9" t="s">
        <v>87</v>
      </c>
      <c r="F1" s="659" t="s">
        <v>1202</v>
      </c>
      <c r="G1" s="659"/>
    </row>
    <row r="2" spans="1:10" ht="11.5" x14ac:dyDescent="0.2">
      <c r="A2" s="8" t="s">
        <v>81</v>
      </c>
      <c r="B2" s="469">
        <f>Rydberg!F10</f>
        <v>0.2357317007983418</v>
      </c>
      <c r="C2" s="11">
        <f>35*POWER(12,40)*B2</f>
        <v>1.2126511302583943E+44</v>
      </c>
      <c r="D2" s="12">
        <f>POWER(c_0,4)/C2</f>
        <v>6.6611150655846881E-11</v>
      </c>
      <c r="E2" s="13">
        <f>(D2-D$31)/D$32</f>
        <v>-87.899562768741831</v>
      </c>
      <c r="F2" s="13"/>
      <c r="G2" s="13"/>
    </row>
    <row r="3" spans="1:10" ht="11.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 x14ac:dyDescent="0.2">
      <c r="A4" s="8" t="s">
        <v>83</v>
      </c>
      <c r="B4" s="469">
        <f>Clock!F10</f>
        <v>0.23530043961765457</v>
      </c>
      <c r="C4" s="11">
        <f t="shared" si="0"/>
        <v>1.2104326362822943E+44</v>
      </c>
      <c r="D4" s="12">
        <f>POWER(c_0,4)/C4</f>
        <v>6.6733236290389062E-11</v>
      </c>
      <c r="E4" s="13">
        <f>(D4-D$31)/D$32</f>
        <v>-6.5091397406212232</v>
      </c>
      <c r="F4" s="13">
        <v>0</v>
      </c>
      <c r="G4" s="13" t="s">
        <v>1200</v>
      </c>
    </row>
    <row r="5" spans="1:10" ht="11.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1200</v>
      </c>
      <c r="H5" s="459"/>
      <c r="I5" s="14">
        <f>-E5*12</f>
        <v>77.794992093253427</v>
      </c>
      <c r="J5" s="14">
        <f>(I5-7)*12</f>
        <v>849.53990511904112</v>
      </c>
    </row>
    <row r="6" spans="1:10" ht="11.5" x14ac:dyDescent="0.2">
      <c r="A6" s="30" t="s">
        <v>1197</v>
      </c>
      <c r="B6" s="470">
        <f>Gravitic!F$10*POWER(12,-40)</f>
        <v>0.23526601795300434</v>
      </c>
      <c r="C6" s="460">
        <f t="shared" si="0"/>
        <v>1.2102555643382065E+44</v>
      </c>
      <c r="D6" s="461">
        <f>POWER(c_0,4)/C6</f>
        <v>6.6742999999999981E-11</v>
      </c>
      <c r="E6" s="462">
        <f>(D6-D$31)/D$32</f>
        <v>-8.6164647140940394E-12</v>
      </c>
      <c r="F6" s="462">
        <f>Gravitic!G4</f>
        <v>38.474254598038563</v>
      </c>
      <c r="G6" s="462" t="s">
        <v>1201</v>
      </c>
      <c r="H6" s="659">
        <v>2018</v>
      </c>
      <c r="I6" s="14"/>
    </row>
    <row r="7" spans="1:10" ht="11.5" x14ac:dyDescent="0.2">
      <c r="A7" s="465" t="s">
        <v>1198</v>
      </c>
      <c r="B7" s="471">
        <v>0.23527130550313324</v>
      </c>
      <c r="C7" s="466">
        <v>1.2102827645561594E+44</v>
      </c>
      <c r="D7" s="467">
        <v>6.6741499999999994E-11</v>
      </c>
      <c r="E7" s="468">
        <v>-0.99999999999996214</v>
      </c>
      <c r="F7" s="468">
        <v>32.563632739775898</v>
      </c>
      <c r="G7" s="468" t="s">
        <v>1201</v>
      </c>
      <c r="H7" s="659"/>
      <c r="I7" s="14"/>
    </row>
    <row r="8" spans="1:10" ht="11.5" x14ac:dyDescent="0.2">
      <c r="A8" s="45" t="s">
        <v>1199</v>
      </c>
      <c r="B8" s="472">
        <v>0.23526073064053768</v>
      </c>
      <c r="C8" s="463">
        <v>1.210228365342836E+44</v>
      </c>
      <c r="D8" s="419">
        <v>6.6744499999999981E-11</v>
      </c>
      <c r="E8" s="464">
        <v>0.9999999999913457</v>
      </c>
      <c r="F8" s="464">
        <v>44.384810038259971</v>
      </c>
      <c r="G8" s="464" t="s">
        <v>1201</v>
      </c>
      <c r="H8" s="659"/>
      <c r="I8" s="14"/>
    </row>
    <row r="9" spans="1:10" ht="11.5" x14ac:dyDescent="0.2">
      <c r="A9" s="384" t="s">
        <v>1760</v>
      </c>
      <c r="B9" s="532">
        <v>0.2352737731078646</v>
      </c>
      <c r="C9" s="533">
        <v>1.2102954584096225E+44</v>
      </c>
      <c r="D9" s="534">
        <v>6.6740799999999978E-11</v>
      </c>
      <c r="E9" s="535">
        <v>-8.3385142394458432E-12</v>
      </c>
      <c r="F9" s="535">
        <v>29.805319808842984</v>
      </c>
      <c r="G9" s="535" t="s">
        <v>1204</v>
      </c>
      <c r="H9" s="660">
        <v>2014</v>
      </c>
      <c r="I9" s="14"/>
    </row>
    <row r="10" spans="1:10" ht="11.5" x14ac:dyDescent="0.2">
      <c r="A10" s="384" t="s">
        <v>1761</v>
      </c>
      <c r="B10" s="532">
        <v>0.23528470169390567</v>
      </c>
      <c r="C10" s="533">
        <v>1.2103516772472667E+44</v>
      </c>
      <c r="D10" s="534">
        <v>6.6737699999999985E-11</v>
      </c>
      <c r="E10" s="535">
        <v>-1.0000000000060771</v>
      </c>
      <c r="F10" s="535">
        <v>17.58535959361982</v>
      </c>
      <c r="G10" s="535" t="s">
        <v>1204</v>
      </c>
      <c r="H10" s="661"/>
      <c r="I10" s="14"/>
    </row>
    <row r="11" spans="1:10" ht="11.5" x14ac:dyDescent="0.2">
      <c r="A11" s="384" t="s">
        <v>1762</v>
      </c>
      <c r="B11" s="532">
        <v>0.23526284553700591</v>
      </c>
      <c r="C11" s="533">
        <v>1.2102392447942795E+44</v>
      </c>
      <c r="D11" s="534">
        <v>6.6743899999999983E-11</v>
      </c>
      <c r="E11" s="535">
        <v>0.99999999999356926</v>
      </c>
      <c r="F11" s="535">
        <v>42.016195128849041</v>
      </c>
      <c r="G11" s="535" t="s">
        <v>1204</v>
      </c>
      <c r="H11" s="662"/>
      <c r="I11" s="14"/>
    </row>
    <row r="12" spans="1:10" ht="11.5" x14ac:dyDescent="0.2">
      <c r="A12" s="30" t="s">
        <v>1197</v>
      </c>
      <c r="B12" s="470">
        <v>0.23528223385992716</v>
      </c>
      <c r="C12" s="460">
        <v>1.2103389822145105E+44</v>
      </c>
      <c r="D12" s="461">
        <v>6.6738400000000014E-11</v>
      </c>
      <c r="E12" s="462">
        <v>1.615587133892632E-12</v>
      </c>
      <c r="F12" s="462">
        <v>20.325282763208502</v>
      </c>
      <c r="G12" s="462" t="s">
        <v>1201</v>
      </c>
      <c r="H12" s="659">
        <v>2010</v>
      </c>
      <c r="I12" s="14"/>
    </row>
    <row r="13" spans="1:10" ht="11.5" x14ac:dyDescent="0.2">
      <c r="A13" s="465" t="s">
        <v>1198</v>
      </c>
      <c r="B13" s="471">
        <v>0.23531044076219179</v>
      </c>
      <c r="C13" s="466">
        <v>1.2104840841749022E+44</v>
      </c>
      <c r="D13" s="467">
        <v>6.673040000000001E-11</v>
      </c>
      <c r="E13" s="468">
        <v>-0.99999999999888489</v>
      </c>
      <c r="F13" s="468">
        <v>-11.199886455150754</v>
      </c>
      <c r="G13" s="468" t="s">
        <v>1201</v>
      </c>
      <c r="H13" s="659"/>
      <c r="I13" s="14"/>
    </row>
    <row r="14" spans="1:10" ht="11.5" x14ac:dyDescent="0.2">
      <c r="A14" s="45" t="s">
        <v>1199</v>
      </c>
      <c r="B14" s="472">
        <v>0.23525403371923229</v>
      </c>
      <c r="C14" s="463">
        <v>1.2101939150369894E+44</v>
      </c>
      <c r="D14" s="419">
        <v>6.6746399999999992E-11</v>
      </c>
      <c r="E14" s="464">
        <v>0.99999999999888489</v>
      </c>
      <c r="F14" s="464">
        <v>51.848562561010453</v>
      </c>
      <c r="G14" s="464" t="s">
        <v>1201</v>
      </c>
      <c r="H14" s="659"/>
      <c r="I14" s="14"/>
    </row>
    <row r="15" spans="1:10" ht="11.5" x14ac:dyDescent="0.2">
      <c r="A15" s="30" t="s">
        <v>1197</v>
      </c>
      <c r="B15" s="470">
        <v>0.23526672294595621</v>
      </c>
      <c r="C15" s="460">
        <v>1.2102591909632935E+44</v>
      </c>
      <c r="D15" s="461">
        <v>6.6742799999999995E-11</v>
      </c>
      <c r="E15" s="462">
        <v>1.615587133892632E-12</v>
      </c>
      <c r="F15" s="462">
        <v>37.663320446026667</v>
      </c>
      <c r="G15" s="462" t="s">
        <v>1204</v>
      </c>
      <c r="H15" s="659">
        <v>2006</v>
      </c>
      <c r="I15" s="14"/>
    </row>
    <row r="16" spans="1:10" ht="11.5" x14ac:dyDescent="0.2">
      <c r="A16" s="465" t="s">
        <v>1198</v>
      </c>
      <c r="B16" s="471">
        <v>0.23529034265168877</v>
      </c>
      <c r="C16" s="466">
        <v>1.2103806954650469E+44</v>
      </c>
      <c r="D16" s="467">
        <v>6.6736099999999991E-11</v>
      </c>
      <c r="E16" s="468">
        <v>-0.99999999999888489</v>
      </c>
      <c r="F16" s="468">
        <v>11.261990145773828</v>
      </c>
      <c r="G16" s="468" t="s">
        <v>1204</v>
      </c>
      <c r="H16" s="659"/>
      <c r="I16" s="14"/>
    </row>
    <row r="17" spans="1:9" ht="11.5" x14ac:dyDescent="0.2">
      <c r="A17" s="45" t="s">
        <v>1199</v>
      </c>
      <c r="B17" s="472">
        <v>0.23524310798189296</v>
      </c>
      <c r="C17" s="463">
        <v>1.2101377108536378E+44</v>
      </c>
      <c r="D17" s="419">
        <v>6.6749499999999998E-11</v>
      </c>
      <c r="E17" s="464">
        <v>0.99999999999888489</v>
      </c>
      <c r="F17" s="464">
        <v>64.063325626034683</v>
      </c>
      <c r="G17" s="464" t="s">
        <v>1204</v>
      </c>
      <c r="H17" s="659"/>
      <c r="I17" s="14"/>
    </row>
    <row r="18" spans="1:9" ht="11.5" x14ac:dyDescent="0.2">
      <c r="A18" s="30" t="s">
        <v>1197</v>
      </c>
      <c r="B18" s="470">
        <v>0.23526954296001559</v>
      </c>
      <c r="C18" s="460">
        <v>1.2102736976809937E+44</v>
      </c>
      <c r="D18" s="461">
        <v>6.6742000000000011E-11</v>
      </c>
      <c r="E18" s="462">
        <v>1.615587133892632E-12</v>
      </c>
      <c r="F18" s="462">
        <v>34.510992467756267</v>
      </c>
      <c r="G18" s="462" t="s">
        <v>1204</v>
      </c>
      <c r="H18" s="659">
        <v>2002</v>
      </c>
      <c r="I18" s="14"/>
    </row>
    <row r="19" spans="1:9" ht="11.5" x14ac:dyDescent="0.2">
      <c r="A19" s="465" t="s">
        <v>1205</v>
      </c>
      <c r="B19" s="471">
        <v>0.23530479884069655</v>
      </c>
      <c r="C19" s="466">
        <v>1.2104550609995937E+44</v>
      </c>
      <c r="D19" s="467">
        <v>6.6732000000000016E-11</v>
      </c>
      <c r="E19" s="468">
        <v>-0.99999999999888489</v>
      </c>
      <c r="F19" s="468">
        <v>-4.8947014415286452</v>
      </c>
      <c r="G19" s="468" t="s">
        <v>1204</v>
      </c>
      <c r="H19" s="659"/>
      <c r="I19" s="14"/>
    </row>
    <row r="20" spans="1:9" ht="11.5" x14ac:dyDescent="0.2">
      <c r="A20" s="45" t="s">
        <v>1199</v>
      </c>
      <c r="B20" s="472">
        <v>0.23523429764257792</v>
      </c>
      <c r="C20" s="463">
        <v>1.2100923887018349E+44</v>
      </c>
      <c r="D20" s="419">
        <v>6.6752000000000019E-11</v>
      </c>
      <c r="E20" s="464">
        <v>0.99999999999888489</v>
      </c>
      <c r="F20" s="464">
        <v>73.913734396304577</v>
      </c>
      <c r="G20" s="464" t="s">
        <v>1204</v>
      </c>
      <c r="H20" s="659"/>
      <c r="I20" s="14"/>
    </row>
    <row r="21" spans="1:9" ht="11.5" x14ac:dyDescent="0.2">
      <c r="A21" s="30" t="s">
        <v>1197</v>
      </c>
      <c r="B21" s="470">
        <v>0.23531185128483989</v>
      </c>
      <c r="C21" s="460">
        <v>1.2104913401861967E+44</v>
      </c>
      <c r="D21" s="461">
        <v>6.6729999999999999E-11</v>
      </c>
      <c r="E21" s="462">
        <v>1.615587133892632E-12</v>
      </c>
      <c r="F21" s="462">
        <v>-12.776194519444383</v>
      </c>
      <c r="G21" s="462" t="s">
        <v>1204</v>
      </c>
      <c r="H21" s="659">
        <v>1998</v>
      </c>
      <c r="I21" s="14"/>
    </row>
    <row r="22" spans="1:9" ht="11.5" x14ac:dyDescent="0.2">
      <c r="A22" s="465" t="s">
        <v>1205</v>
      </c>
      <c r="B22" s="471">
        <v>0.23566501330087594</v>
      </c>
      <c r="C22" s="466">
        <v>1.2123080764013942E+44</v>
      </c>
      <c r="D22" s="467">
        <v>6.6630000000000007E-11</v>
      </c>
      <c r="E22" s="468">
        <v>-0.99999999999888489</v>
      </c>
      <c r="F22" s="468">
        <v>-407.00155072054054</v>
      </c>
      <c r="G22" s="468" t="s">
        <v>1204</v>
      </c>
      <c r="H22" s="659"/>
      <c r="I22" s="14"/>
    </row>
    <row r="23" spans="1:9" ht="11.5" x14ac:dyDescent="0.2">
      <c r="A23" s="45" t="s">
        <v>1199</v>
      </c>
      <c r="B23" s="472">
        <v>0.23495974616545509</v>
      </c>
      <c r="C23" s="463">
        <v>1.2086800408592682E+44</v>
      </c>
      <c r="D23" s="419">
        <v>6.6830000000000003E-11</v>
      </c>
      <c r="E23" s="464">
        <v>0.99999999999888489</v>
      </c>
      <c r="F23" s="464">
        <v>381.15388378336343</v>
      </c>
      <c r="G23" s="464" t="s">
        <v>1204</v>
      </c>
      <c r="H23" s="659"/>
      <c r="I23" s="14"/>
    </row>
    <row r="24" spans="1:9" ht="11.5" x14ac:dyDescent="0.2">
      <c r="A24" s="30" t="s">
        <v>1197</v>
      </c>
      <c r="B24" s="470">
        <v>0.23532631011702146</v>
      </c>
      <c r="C24" s="460">
        <v>1.2105657193177594E+44</v>
      </c>
      <c r="D24" s="461">
        <v>6.672590000000001E-11</v>
      </c>
      <c r="E24" s="462">
        <v>1.615587133892632E-12</v>
      </c>
      <c r="F24" s="462">
        <v>-28.933624579624613</v>
      </c>
      <c r="G24" s="462" t="s">
        <v>1204</v>
      </c>
      <c r="H24" s="659">
        <v>1986</v>
      </c>
      <c r="I24" s="14"/>
    </row>
    <row r="25" spans="1:9" ht="11.5" x14ac:dyDescent="0.2">
      <c r="A25" s="465" t="s">
        <v>1206</v>
      </c>
      <c r="B25" s="471">
        <v>0.23535629140580072</v>
      </c>
      <c r="C25" s="466">
        <v>1.2107199490781254E+44</v>
      </c>
      <c r="D25" s="467">
        <v>6.6717399999999976E-11</v>
      </c>
      <c r="E25" s="468">
        <v>-0.99999999999888489</v>
      </c>
      <c r="F25" s="468">
        <v>-62.432317090197877</v>
      </c>
      <c r="G25" s="468" t="s">
        <v>1204</v>
      </c>
      <c r="H25" s="659"/>
      <c r="I25" s="14"/>
    </row>
    <row r="26" spans="1:9" ht="11.5" x14ac:dyDescent="0.2">
      <c r="A26" s="45" t="s">
        <v>1199</v>
      </c>
      <c r="B26" s="472">
        <v>0.23529633646571133</v>
      </c>
      <c r="C26" s="463">
        <v>1.2104115288460659E+44</v>
      </c>
      <c r="D26" s="419">
        <v>6.6734399999999992E-11</v>
      </c>
      <c r="E26" s="464">
        <v>0.99999999999888489</v>
      </c>
      <c r="F26" s="464">
        <v>4.5629343527317792</v>
      </c>
      <c r="G26" s="464" t="s">
        <v>1204</v>
      </c>
      <c r="H26" s="659"/>
      <c r="I26" s="14"/>
    </row>
    <row r="27" spans="1:9" ht="11.5" x14ac:dyDescent="0.2">
      <c r="A27" s="30" t="s">
        <v>1197</v>
      </c>
      <c r="B27" s="470">
        <v>0.23534711984768242</v>
      </c>
      <c r="C27" s="460">
        <v>1.2106727687443784E+44</v>
      </c>
      <c r="D27" s="461">
        <v>6.6719999999999977E-11</v>
      </c>
      <c r="E27" s="462">
        <v>1.615587133892632E-12</v>
      </c>
      <c r="F27" s="462">
        <v>-52.185431681407849</v>
      </c>
      <c r="G27" s="462" t="s">
        <v>1204</v>
      </c>
      <c r="H27" s="659">
        <v>1973</v>
      </c>
      <c r="I27" s="14"/>
    </row>
    <row r="28" spans="1:9" ht="11.5" x14ac:dyDescent="0.2">
      <c r="A28" s="465" t="s">
        <v>1207</v>
      </c>
      <c r="B28" s="471">
        <v>0.23549183155472292</v>
      </c>
      <c r="C28" s="466">
        <v>1.2114171947783399E+44</v>
      </c>
      <c r="D28" s="467">
        <v>6.6678999999999975E-11</v>
      </c>
      <c r="E28" s="468">
        <v>-0.99999999999888489</v>
      </c>
      <c r="F28" s="468">
        <v>-213.79418944481114</v>
      </c>
      <c r="G28" s="468" t="s">
        <v>1204</v>
      </c>
      <c r="H28" s="659"/>
      <c r="I28" s="14"/>
    </row>
    <row r="29" spans="1:9" ht="11.5" x14ac:dyDescent="0.2">
      <c r="A29" s="45" t="s">
        <v>1199</v>
      </c>
      <c r="B29" s="472">
        <v>0.23520258588453394</v>
      </c>
      <c r="C29" s="463">
        <v>1.2099292570606331E+44</v>
      </c>
      <c r="D29" s="419">
        <v>6.676099999999998E-11</v>
      </c>
      <c r="E29" s="464">
        <v>0.99999999999888489</v>
      </c>
      <c r="F29" s="464">
        <v>109.37367873669088</v>
      </c>
      <c r="G29" s="464" t="s">
        <v>1204</v>
      </c>
      <c r="H29" s="659"/>
      <c r="I29" s="14"/>
    </row>
    <row r="30" spans="1:9" ht="11.5" x14ac:dyDescent="0.2">
      <c r="A30" s="14"/>
      <c r="B30" s="14"/>
      <c r="C30" s="14"/>
      <c r="D30" s="14"/>
      <c r="E30" s="14"/>
      <c r="F30" s="14"/>
      <c r="G30" s="14"/>
    </row>
    <row r="31" spans="1:9" ht="11.5" x14ac:dyDescent="0.2">
      <c r="A31" s="14"/>
      <c r="B31" s="14"/>
      <c r="C31" s="15" t="s">
        <v>1763</v>
      </c>
      <c r="D31" s="12">
        <v>6.6742999999999994E-11</v>
      </c>
      <c r="E31" s="14"/>
      <c r="F31" s="14"/>
      <c r="G31" s="14"/>
    </row>
    <row r="32" spans="1:9" ht="11.5" x14ac:dyDescent="0.2">
      <c r="A32" s="14"/>
      <c r="B32" s="14"/>
      <c r="C32" s="15" t="s">
        <v>88</v>
      </c>
      <c r="D32" s="16">
        <v>1.4999999999999999E-15</v>
      </c>
      <c r="E32" s="244">
        <f>D32/D31</f>
        <v>2.2474266964325848E-5</v>
      </c>
      <c r="F32" s="244"/>
      <c r="G32" s="244"/>
    </row>
    <row r="33" spans="1:7" ht="11.5" x14ac:dyDescent="0.2">
      <c r="A33" s="14"/>
      <c r="B33" s="14"/>
      <c r="C33" s="14"/>
      <c r="D33" s="14"/>
      <c r="E33" s="14"/>
      <c r="F33" s="14"/>
      <c r="G33" s="14"/>
    </row>
    <row r="34" spans="1:7" ht="11.5" x14ac:dyDescent="0.2">
      <c r="A34" s="14"/>
      <c r="B34" s="14"/>
      <c r="C34" s="14"/>
      <c r="D34" s="14">
        <f>D42*0.00000000001+E34*E42*0.0000000000000001</f>
        <v>6.6742999999999994E-11</v>
      </c>
      <c r="E34" s="14">
        <v>0</v>
      </c>
      <c r="F34" s="459">
        <f>Gravitic!G4</f>
        <v>38.474254598038563</v>
      </c>
      <c r="G34" s="54" t="s">
        <v>1208</v>
      </c>
    </row>
    <row r="35" spans="1:7" ht="11.5" x14ac:dyDescent="0.2">
      <c r="A35" s="8"/>
      <c r="B35" s="9" t="s">
        <v>90</v>
      </c>
      <c r="C35" s="10" t="s">
        <v>91</v>
      </c>
      <c r="D35" s="458">
        <v>6.6719999999999997</v>
      </c>
      <c r="E35" s="14">
        <v>410</v>
      </c>
      <c r="F35" s="14">
        <v>1973</v>
      </c>
      <c r="G35" s="459">
        <f t="shared" ref="G35:G39" si="1">(D$4*100000000000-D35)/(E35/100000)</f>
        <v>0.32283635095280044</v>
      </c>
    </row>
    <row r="36" spans="1:7" ht="11.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 x14ac:dyDescent="0.2">
      <c r="A40" s="8" t="s">
        <v>1196</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 x14ac:dyDescent="0.2">
      <c r="A41" s="14"/>
      <c r="B41" s="14"/>
      <c r="C41" s="243"/>
      <c r="D41" s="458">
        <v>6.67408</v>
      </c>
      <c r="E41" s="14">
        <v>31</v>
      </c>
      <c r="F41" s="14">
        <v>2014</v>
      </c>
      <c r="G41" s="459">
        <f>(D$4*100000000000-D41)/(E41/100000)</f>
        <v>-2.4399063261091025</v>
      </c>
    </row>
    <row r="42" spans="1:7" ht="11.5" x14ac:dyDescent="0.2">
      <c r="A42" s="14"/>
      <c r="B42" s="14"/>
      <c r="C42" s="243"/>
      <c r="D42" s="458">
        <v>6.6742999999999997</v>
      </c>
      <c r="E42" s="14">
        <v>15</v>
      </c>
      <c r="F42" s="14">
        <v>2018</v>
      </c>
      <c r="G42" s="459">
        <f>(D$4*100000000000-D42)/(E42/100000)</f>
        <v>-6.5091397406232456</v>
      </c>
    </row>
    <row r="43" spans="1:7" ht="11.5" x14ac:dyDescent="0.2">
      <c r="D43" s="458">
        <v>6.6754499999999997</v>
      </c>
      <c r="E43" s="14">
        <v>18</v>
      </c>
      <c r="F43" s="14" t="s">
        <v>1371</v>
      </c>
      <c r="G43" s="459">
        <f>(D$4*100000000000-D43)/(E43/100000)</f>
        <v>-11.813172006074838</v>
      </c>
    </row>
    <row r="44" spans="1:7" ht="11.5" x14ac:dyDescent="0.2">
      <c r="D44" s="458">
        <f>Rydberg!D100*100000000000</f>
        <v>6.6743054317511898</v>
      </c>
      <c r="E44" s="14">
        <v>0</v>
      </c>
      <c r="F44" s="474" t="s">
        <v>1212</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3.1796875" style="14" customWidth="1"/>
    <col min="8" max="8" width="3.6328125" style="14" customWidth="1"/>
    <col min="9" max="9" width="9.1796875" style="14" customWidth="1"/>
    <col min="10" max="10" width="8.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16384" width="9" style="14"/>
  </cols>
  <sheetData>
    <row r="1" spans="1:35" ht="11.25" customHeight="1" x14ac:dyDescent="0.2">
      <c r="A1" s="584" t="s">
        <v>202</v>
      </c>
      <c r="B1" s="17" t="s">
        <v>42</v>
      </c>
      <c r="C1" s="18" t="s">
        <v>95</v>
      </c>
      <c r="D1" s="17" t="s">
        <v>43</v>
      </c>
      <c r="E1" s="18" t="s">
        <v>44</v>
      </c>
      <c r="F1" s="17" t="s">
        <v>55</v>
      </c>
      <c r="G1" s="17" t="s">
        <v>261</v>
      </c>
      <c r="H1" s="19"/>
      <c r="I1" s="20" t="s">
        <v>46</v>
      </c>
      <c r="J1" s="90"/>
    </row>
    <row r="2" spans="1:35" ht="13.5" customHeight="1" x14ac:dyDescent="0.2">
      <c r="A2" s="585"/>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85"/>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85"/>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86"/>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84" t="s">
        <v>201</v>
      </c>
      <c r="B16" s="17" t="s">
        <v>42</v>
      </c>
      <c r="C16" s="18" t="s">
        <v>95</v>
      </c>
      <c r="D16" s="17" t="s">
        <v>43</v>
      </c>
      <c r="E16" s="18" t="s">
        <v>54</v>
      </c>
      <c r="F16" s="17" t="s">
        <v>47</v>
      </c>
      <c r="G16" s="17" t="s">
        <v>45</v>
      </c>
      <c r="H16" s="579" t="s">
        <v>80</v>
      </c>
      <c r="I16" s="663"/>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85"/>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85"/>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85"/>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85"/>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85"/>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85"/>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85"/>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85"/>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85"/>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85"/>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85"/>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85"/>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85"/>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85"/>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85"/>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85"/>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85"/>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85"/>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85"/>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85"/>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85"/>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85"/>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85"/>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85"/>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85"/>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85"/>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85"/>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85"/>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85"/>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85"/>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85"/>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85"/>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85"/>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85"/>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85"/>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85"/>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85"/>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85"/>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85"/>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85"/>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85"/>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85"/>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85"/>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85"/>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85"/>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85"/>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85"/>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86"/>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ht="12" thickBot="1" x14ac:dyDescent="0.25"/>
    <row r="66" spans="2:35" ht="12"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x14ac:dyDescent="0.2">
      <c r="C67" s="55"/>
      <c r="G67" s="234"/>
      <c r="H67" s="235"/>
      <c r="I67" s="236"/>
      <c r="J67" s="236"/>
      <c r="K67" s="237"/>
      <c r="M67" s="237"/>
      <c r="O67" s="237"/>
      <c r="Q67" s="237"/>
      <c r="S67" s="237"/>
      <c r="U67" s="237"/>
      <c r="W67" s="237"/>
      <c r="Y67" s="237"/>
      <c r="AA67" s="237"/>
      <c r="AC67" s="237"/>
      <c r="AE67" s="237"/>
      <c r="AG67" s="237"/>
      <c r="AI67" s="237"/>
    </row>
    <row r="68" spans="2:35" x14ac:dyDescent="0.2">
      <c r="D68" s="54" t="s">
        <v>1250</v>
      </c>
      <c r="F68" s="14" t="s">
        <v>1241</v>
      </c>
      <c r="I68" s="54" t="s">
        <v>1242</v>
      </c>
    </row>
    <row r="69" spans="2:35" x14ac:dyDescent="0.2">
      <c r="D69" s="14" t="s">
        <v>1231</v>
      </c>
      <c r="E69" s="137" t="s">
        <v>1232</v>
      </c>
      <c r="F69" s="14" t="s">
        <v>1233</v>
      </c>
      <c r="I69" s="475">
        <f>8*D17/(9*F3)-1</f>
        <v>-5.209697507292943E-3</v>
      </c>
      <c r="J69" s="475"/>
    </row>
    <row r="70" spans="2:35" x14ac:dyDescent="0.2">
      <c r="D70" s="14" t="s">
        <v>1234</v>
      </c>
      <c r="E70" s="137" t="s">
        <v>1232</v>
      </c>
      <c r="F70" s="14" t="s">
        <v>1750</v>
      </c>
      <c r="I70" s="475">
        <f>9*2*3600/(8*POWER(12,4)*F4)-1</f>
        <v>-2.9472257079277142E-7</v>
      </c>
      <c r="J70" s="475"/>
    </row>
    <row r="71" spans="2:35" x14ac:dyDescent="0.2">
      <c r="D71" s="14" t="s">
        <v>1235</v>
      </c>
      <c r="E71" s="137" t="s">
        <v>1232</v>
      </c>
      <c r="F71" s="14" t="s">
        <v>1236</v>
      </c>
      <c r="I71" s="475">
        <f>14*D51/(3*F8)-1</f>
        <v>3.5537269545395933E-3</v>
      </c>
      <c r="J71" s="475"/>
    </row>
    <row r="72" spans="2:35" x14ac:dyDescent="0.2">
      <c r="D72" s="14" t="s">
        <v>1243</v>
      </c>
      <c r="E72" s="137" t="s">
        <v>1232</v>
      </c>
      <c r="F72" s="14" t="s">
        <v>1751</v>
      </c>
      <c r="I72" s="475">
        <f>3*D43/8/POWER(12*12*F3,2)-1</f>
        <v>-1.3351896373032246E-2</v>
      </c>
      <c r="J72" s="475"/>
    </row>
    <row r="73" spans="2:35" x14ac:dyDescent="0.2">
      <c r="D73" s="14" t="s">
        <v>1251</v>
      </c>
      <c r="E73" s="137" t="s">
        <v>1232</v>
      </c>
      <c r="F73" s="14" t="s">
        <v>1252</v>
      </c>
      <c r="I73" s="475">
        <f>0.00454609*40/(POWER(F3,3)*9)-1</f>
        <v>1.4465769927896055E-4</v>
      </c>
    </row>
    <row r="74" spans="2:35" x14ac:dyDescent="0.2">
      <c r="D74" s="14" t="s">
        <v>1249</v>
      </c>
      <c r="E74" s="137" t="s">
        <v>1232</v>
      </c>
      <c r="F74" s="14" t="s">
        <v>1248</v>
      </c>
      <c r="I74" s="475">
        <f>0.0044048428032*16/(POWER(F3,3)*3.5)-1</f>
        <v>-3.2421587120771145E-3</v>
      </c>
    </row>
    <row r="75" spans="2:35" x14ac:dyDescent="0.2">
      <c r="D75" s="14" t="s">
        <v>1245</v>
      </c>
      <c r="E75" s="137" t="s">
        <v>1232</v>
      </c>
      <c r="F75" s="14" t="s">
        <v>1244</v>
      </c>
      <c r="I75" s="475">
        <f>16*D47/(3*POWER(F3,3))-1</f>
        <v>-6.4643516705653603E-4</v>
      </c>
      <c r="J75" s="475"/>
    </row>
    <row r="76" spans="2:35" x14ac:dyDescent="0.2">
      <c r="D76" s="14" t="s">
        <v>1238</v>
      </c>
      <c r="E76" s="137" t="s">
        <v>1232</v>
      </c>
      <c r="F76" s="14" t="s">
        <v>1237</v>
      </c>
      <c r="I76" s="475">
        <f>D47/(POWER(F3,3)*0.5*0.5*0.75)-1</f>
        <v>-6.4643516705653603E-4</v>
      </c>
      <c r="J76" s="475"/>
    </row>
    <row r="77" spans="2:35" x14ac:dyDescent="0.2">
      <c r="D77" s="14" t="s">
        <v>1246</v>
      </c>
      <c r="E77" s="137" t="s">
        <v>1232</v>
      </c>
      <c r="F77" s="14" t="s">
        <v>1247</v>
      </c>
      <c r="I77" s="475">
        <f>0.000001/(POWER(12,-4)*POWER(F3,3))-1</f>
        <v>2.6436985401027346E-2</v>
      </c>
      <c r="J77" s="475"/>
      <c r="P77" s="475"/>
    </row>
    <row r="78" spans="2:35" x14ac:dyDescent="0.2">
      <c r="D78" s="14" t="s">
        <v>1239</v>
      </c>
      <c r="E78" s="137" t="s">
        <v>1232</v>
      </c>
      <c r="F78" s="14" t="s">
        <v>1240</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672</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673</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681</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695</v>
      </c>
      <c r="D6" s="21"/>
      <c r="E6" s="8"/>
      <c r="F6" s="21">
        <f>0.1/144</f>
        <v>6.9444444444444447E-4</v>
      </c>
      <c r="G6" s="21"/>
      <c r="H6" s="8">
        <v>-3</v>
      </c>
      <c r="I6" s="58">
        <f t="shared" si="0"/>
        <v>0.69444444444444442</v>
      </c>
      <c r="J6" s="118" t="s">
        <v>1066</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690</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674</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680</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675</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676</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679</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677</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696</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697</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682</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689</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685</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686</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687</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688</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
        <v>668</v>
      </c>
      <c r="C22" s="2" t="s">
        <v>691</v>
      </c>
      <c r="D22" s="29"/>
      <c r="E22" s="30"/>
      <c r="F22" s="29">
        <f>1/F4</f>
        <v>5.76</v>
      </c>
      <c r="G22" s="21"/>
      <c r="H22" s="8">
        <v>0</v>
      </c>
      <c r="I22" s="58">
        <f t="shared" si="0"/>
        <v>5.76</v>
      </c>
      <c r="J22" s="118" t="s">
        <v>670</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654</v>
      </c>
      <c r="C23" s="2" t="s">
        <v>692</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656</v>
      </c>
      <c r="C24" s="2" t="s">
        <v>694</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660</v>
      </c>
      <c r="C25" s="6" t="s">
        <v>693</v>
      </c>
      <c r="D25" s="29"/>
      <c r="E25" s="30"/>
      <c r="F25" s="29">
        <f>F23/F3/F3</f>
        <v>13.492148505106066</v>
      </c>
      <c r="G25" s="29"/>
      <c r="H25" s="30">
        <v>0</v>
      </c>
      <c r="I25" s="59">
        <f t="shared" si="0"/>
        <v>13.492148505106066</v>
      </c>
      <c r="J25" s="119" t="s">
        <v>671</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1067</v>
      </c>
      <c r="C26" s="4" t="s">
        <v>1068</v>
      </c>
      <c r="D26" s="32"/>
      <c r="E26" s="33"/>
      <c r="F26" s="32">
        <f>F3/F4/F4</f>
        <v>9.8100494006662338</v>
      </c>
      <c r="G26" s="32"/>
      <c r="H26" s="33">
        <v>0</v>
      </c>
      <c r="I26" s="60">
        <f t="shared" ref="I26" si="3">F26/POWER(10,H26)</f>
        <v>9.8100494006662338</v>
      </c>
      <c r="J26" s="124" t="s">
        <v>1109</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85"/>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85"/>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85"/>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85"/>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85"/>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85"/>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85"/>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85"/>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85"/>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85"/>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85"/>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85"/>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85"/>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85"/>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85"/>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85"/>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85"/>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85"/>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85"/>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85"/>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85"/>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85"/>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85"/>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85"/>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85"/>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85"/>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85"/>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85"/>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85"/>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85"/>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85"/>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86"/>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2"/>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2"/>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2"/>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2"/>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2"/>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2"/>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2"/>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2"/>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2"/>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2"/>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3"/>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1071</v>
      </c>
      <c r="I84" s="288"/>
    </row>
    <row r="85" spans="1:35" x14ac:dyDescent="0.2">
      <c r="B85" s="107" t="s">
        <v>1100</v>
      </c>
      <c r="C85" s="30" t="s">
        <v>1104</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1101</v>
      </c>
      <c r="C86" s="30" t="s">
        <v>1105</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1102</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1103</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1074</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1382</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1381</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1387</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1385</v>
      </c>
      <c r="D6" s="21"/>
      <c r="E6" s="8"/>
      <c r="F6" s="21">
        <f>F5/(D33/21984218*POWER(12,29))</f>
        <v>0.55518289459035275</v>
      </c>
      <c r="G6" s="21"/>
      <c r="H6" s="8">
        <v>0</v>
      </c>
      <c r="I6" s="58">
        <f t="shared" si="0"/>
        <v>0.55518289459035275</v>
      </c>
      <c r="J6" s="118" t="s">
        <v>1383</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1386</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1384</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680</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1388</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1389</v>
      </c>
      <c r="D11" s="21"/>
      <c r="E11" s="8"/>
      <c r="F11" s="21">
        <f>F5/POWER(F3,3)</f>
        <v>486.10456830976614</v>
      </c>
      <c r="G11" s="21"/>
      <c r="H11" s="8">
        <v>0</v>
      </c>
      <c r="I11" s="58">
        <f t="shared" si="0"/>
        <v>486.10456830976614</v>
      </c>
      <c r="J11" s="118" t="s">
        <v>1406</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1391</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1390</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1392</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1393</v>
      </c>
      <c r="D15" s="21"/>
      <c r="E15" s="8"/>
      <c r="F15" s="21">
        <f>F12/POWER(F3,2)</f>
        <v>1.360392410979794</v>
      </c>
      <c r="G15" s="21"/>
      <c r="H15" s="8">
        <v>0</v>
      </c>
      <c r="I15" s="58">
        <f t="shared" si="0"/>
        <v>1.360392410979794</v>
      </c>
      <c r="J15" s="118" t="s">
        <v>1407</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1394</v>
      </c>
      <c r="D16" s="21"/>
      <c r="E16" s="8"/>
      <c r="F16" s="21">
        <f>Rydberg!F16*4*PI()</f>
        <v>376.73031340987598</v>
      </c>
      <c r="G16" s="21"/>
      <c r="H16" s="8">
        <v>0</v>
      </c>
      <c r="I16" s="58">
        <f t="shared" si="0"/>
        <v>376.73031340987598</v>
      </c>
      <c r="J16" s="118" t="s">
        <v>1408</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1395</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685</v>
      </c>
      <c r="D18" s="21"/>
      <c r="E18" s="8"/>
      <c r="F18" s="21">
        <f>F4/F16</f>
        <v>9.216731913664198E-4</v>
      </c>
      <c r="G18" s="21"/>
      <c r="H18" s="8">
        <v>-6</v>
      </c>
      <c r="I18" s="58">
        <f t="shared" si="0"/>
        <v>921.67319136641981</v>
      </c>
      <c r="J18" s="118" t="s">
        <v>1446</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1399</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1396</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1397</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tr">
        <f>Rydberg!B22</f>
        <v>Frequency</v>
      </c>
      <c r="C22" s="2" t="s">
        <v>1398</v>
      </c>
      <c r="D22" s="29"/>
      <c r="E22" s="30"/>
      <c r="F22" s="29">
        <f>1/F4</f>
        <v>2.8799999334562725</v>
      </c>
      <c r="G22" s="21"/>
      <c r="H22" s="8">
        <v>0</v>
      </c>
      <c r="I22" s="58">
        <f t="shared" si="0"/>
        <v>2.8799999334562725</v>
      </c>
      <c r="J22" s="118" t="s">
        <v>670</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1400</v>
      </c>
      <c r="C23" s="2" t="s">
        <v>1401</v>
      </c>
      <c r="D23" s="21"/>
      <c r="E23" s="8"/>
      <c r="F23" s="21">
        <f>1/F4</f>
        <v>2.8799999334562725</v>
      </c>
      <c r="G23" s="21"/>
      <c r="H23" s="8">
        <v>0</v>
      </c>
      <c r="I23" s="58">
        <f t="shared" si="0"/>
        <v>2.8799999334562725</v>
      </c>
      <c r="J23" s="118" t="s">
        <v>664</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1402</v>
      </c>
      <c r="C24" s="2" t="s">
        <v>1403</v>
      </c>
      <c r="D24" s="21"/>
      <c r="E24" s="8"/>
      <c r="F24" s="21">
        <f>F5/F8</f>
        <v>0.48611773879952874</v>
      </c>
      <c r="G24" s="21"/>
      <c r="H24" s="8">
        <v>0</v>
      </c>
      <c r="I24" s="58">
        <f t="shared" si="0"/>
        <v>0.48611773879952874</v>
      </c>
      <c r="J24" s="118" t="s">
        <v>666</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1404</v>
      </c>
      <c r="C25" s="6" t="s">
        <v>1405</v>
      </c>
      <c r="D25" s="29"/>
      <c r="E25" s="30"/>
      <c r="F25" s="29">
        <f>F5/F8</f>
        <v>0.48611773879952874</v>
      </c>
      <c r="G25" s="29"/>
      <c r="H25" s="30">
        <v>0</v>
      </c>
      <c r="I25" s="59">
        <f t="shared" si="0"/>
        <v>0.48611773879952874</v>
      </c>
      <c r="J25" s="119" t="s">
        <v>667</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1067</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85"/>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85"/>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85"/>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85"/>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85"/>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85"/>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85"/>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85"/>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85"/>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85"/>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85"/>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85"/>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85"/>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85"/>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85"/>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85"/>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85"/>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85"/>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85"/>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85"/>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85"/>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85"/>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85"/>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85"/>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85"/>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85"/>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85"/>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85"/>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85"/>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85"/>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85"/>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86"/>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2"/>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2"/>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2"/>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2"/>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2"/>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2"/>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2"/>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2"/>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2"/>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2"/>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3"/>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1071</v>
      </c>
      <c r="I84" s="288"/>
    </row>
    <row r="85" spans="1:35" x14ac:dyDescent="0.2">
      <c r="B85" s="107" t="s">
        <v>1100</v>
      </c>
      <c r="C85" s="30" t="s">
        <v>1104</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1101</v>
      </c>
      <c r="C86" s="30" t="s">
        <v>1105</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1102</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1103</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1074</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6384" width="9" style="14"/>
  </cols>
  <sheetData>
    <row r="1" spans="1:10" ht="11.25" customHeight="1" x14ac:dyDescent="0.2">
      <c r="A1" s="611" t="s">
        <v>26</v>
      </c>
      <c r="B1" s="17" t="s">
        <v>42</v>
      </c>
      <c r="C1" s="18" t="str">
        <f>Rydberg!C1</f>
        <v>Unit Symbol</v>
      </c>
      <c r="D1" s="17" t="s">
        <v>43</v>
      </c>
      <c r="E1" s="18" t="s">
        <v>44</v>
      </c>
      <c r="F1" s="17" t="s">
        <v>55</v>
      </c>
      <c r="G1" s="17" t="s">
        <v>730</v>
      </c>
      <c r="H1" s="19"/>
      <c r="I1" s="56" t="s">
        <v>46</v>
      </c>
      <c r="J1" s="20"/>
    </row>
    <row r="2" spans="1:10" ht="13.5" customHeight="1" x14ac:dyDescent="0.2">
      <c r="A2" s="612"/>
      <c r="B2" s="2" t="str">
        <f>Rydberg!B2</f>
        <v>Local Time</v>
      </c>
      <c r="C2" s="2" t="str">
        <f>Rydberg!C2</f>
        <v>s</v>
      </c>
      <c r="D2" s="270"/>
      <c r="E2" s="8"/>
      <c r="F2" s="8"/>
      <c r="G2" s="8"/>
      <c r="H2" s="8"/>
      <c r="I2" s="57"/>
      <c r="J2" s="22"/>
    </row>
    <row r="3" spans="1:10" ht="13.5" customHeight="1" x14ac:dyDescent="0.2">
      <c r="A3" s="612"/>
      <c r="B3" s="2" t="str">
        <f>Rydberg!B3</f>
        <v>Length</v>
      </c>
      <c r="C3" s="7" t="s">
        <v>1382</v>
      </c>
      <c r="D3" s="28"/>
      <c r="E3" s="8"/>
      <c r="F3" s="21">
        <f>D31 * F4 / POWER(10,9)</f>
        <v>0.25902068371199999</v>
      </c>
      <c r="G3" s="26"/>
      <c r="H3" s="8">
        <v>-3</v>
      </c>
      <c r="I3" s="58">
        <f>F3/POWER(10,H3)</f>
        <v>259.02068371199999</v>
      </c>
      <c r="J3" s="118" t="str">
        <f>Rydberg!L3</f>
        <v>mm</v>
      </c>
    </row>
    <row r="4" spans="1:10" ht="13.5" customHeight="1" x14ac:dyDescent="0.2">
      <c r="A4" s="612"/>
      <c r="B4" s="2" t="str">
        <f>Rydberg!B4</f>
        <v>Time</v>
      </c>
      <c r="C4" s="7" t="s">
        <v>1381</v>
      </c>
      <c r="D4" s="28"/>
      <c r="E4" s="8"/>
      <c r="F4" s="21">
        <f>86400/100000</f>
        <v>0.86399999999999999</v>
      </c>
      <c r="G4" s="253"/>
      <c r="H4" s="8">
        <v>-3</v>
      </c>
      <c r="I4" s="58">
        <f t="shared" ref="I4:I26" si="0">F4/POWER(10,H4)</f>
        <v>864</v>
      </c>
      <c r="J4" s="118" t="str">
        <f>Rydberg!L4</f>
        <v>ms</v>
      </c>
    </row>
    <row r="5" spans="1:10" ht="13.5" customHeight="1" x14ac:dyDescent="0.2">
      <c r="A5" s="612"/>
      <c r="B5" s="2" t="str">
        <f>Rydberg!B5</f>
        <v>Energy</v>
      </c>
      <c r="C5" s="2" t="s">
        <v>1387</v>
      </c>
      <c r="D5" s="21"/>
      <c r="E5" s="8"/>
      <c r="F5" s="21">
        <f>F8*POWER(F3/F4,2)</f>
        <v>1.5618694925800098</v>
      </c>
      <c r="G5" s="21"/>
      <c r="H5" s="8">
        <v>0</v>
      </c>
      <c r="I5" s="58">
        <f t="shared" si="0"/>
        <v>1.5618694925800098</v>
      </c>
      <c r="J5" s="118" t="s">
        <v>58</v>
      </c>
    </row>
    <row r="6" spans="1:10" ht="13.5" customHeight="1" x14ac:dyDescent="0.2">
      <c r="A6" s="612"/>
      <c r="B6" s="2" t="str">
        <f>Rydberg!B6</f>
        <v>Temperature</v>
      </c>
      <c r="C6" s="2" t="s">
        <v>1385</v>
      </c>
      <c r="D6" s="21"/>
      <c r="E6" s="8"/>
      <c r="F6" s="21">
        <f>5/9</f>
        <v>0.55555555555555558</v>
      </c>
      <c r="G6" s="21"/>
      <c r="H6" s="8">
        <v>0</v>
      </c>
      <c r="I6" s="58">
        <f t="shared" si="0"/>
        <v>0.55555555555555558</v>
      </c>
      <c r="J6" s="118" t="s">
        <v>59</v>
      </c>
    </row>
    <row r="7" spans="1:10" ht="13.5" customHeight="1" x14ac:dyDescent="0.2">
      <c r="A7" s="612"/>
      <c r="B7" s="2" t="str">
        <f>Rydberg!B7</f>
        <v>Amount of substance</v>
      </c>
      <c r="C7" s="2" t="s">
        <v>1386</v>
      </c>
      <c r="D7" s="21"/>
      <c r="E7" s="8"/>
      <c r="F7" s="21">
        <f>F8*1000</f>
        <v>17378.141784675849</v>
      </c>
      <c r="G7" s="21"/>
      <c r="H7" s="8">
        <v>3</v>
      </c>
      <c r="I7" s="58">
        <f t="shared" si="0"/>
        <v>17.378141784675847</v>
      </c>
      <c r="J7" s="118" t="s">
        <v>643</v>
      </c>
    </row>
    <row r="8" spans="1:10" ht="13.5" customHeight="1" x14ac:dyDescent="0.2">
      <c r="A8" s="612"/>
      <c r="B8" s="2" t="str">
        <f>Rydberg!B8</f>
        <v>Mass</v>
      </c>
      <c r="C8" s="2" t="s">
        <v>1384</v>
      </c>
      <c r="D8" s="21"/>
      <c r="E8" s="8"/>
      <c r="F8" s="21">
        <f>POWER(F3*10,3)</f>
        <v>17.378141784675847</v>
      </c>
      <c r="G8" s="21"/>
      <c r="H8" s="8">
        <v>0</v>
      </c>
      <c r="I8" s="58">
        <f t="shared" si="0"/>
        <v>17.378141784675847</v>
      </c>
      <c r="J8" s="118" t="s">
        <v>61</v>
      </c>
    </row>
    <row r="9" spans="1:10" ht="13.5" customHeight="1" x14ac:dyDescent="0.2">
      <c r="A9" s="612"/>
      <c r="B9" s="2" t="str">
        <f>Rydberg!B9</f>
        <v>Power</v>
      </c>
      <c r="C9" s="2" t="s">
        <v>680</v>
      </c>
      <c r="D9" s="21"/>
      <c r="E9" s="8"/>
      <c r="F9" s="21">
        <f>F5/F4</f>
        <v>1.8077193201157522</v>
      </c>
      <c r="G9" s="21"/>
      <c r="H9" s="8">
        <v>0</v>
      </c>
      <c r="I9" s="58">
        <f t="shared" si="0"/>
        <v>1.8077193201157522</v>
      </c>
      <c r="J9" s="118" t="s">
        <v>62</v>
      </c>
    </row>
    <row r="10" spans="1:10" ht="13.5" customHeight="1" x14ac:dyDescent="0.2">
      <c r="A10" s="612"/>
      <c r="B10" s="2" t="str">
        <f>Rydberg!B10</f>
        <v>Force</v>
      </c>
      <c r="C10" s="2" t="s">
        <v>1388</v>
      </c>
      <c r="D10" s="21"/>
      <c r="E10" s="8"/>
      <c r="F10" s="21">
        <f>F5/F3</f>
        <v>6.0299025938662947</v>
      </c>
      <c r="G10" s="21"/>
      <c r="H10" s="8">
        <v>0</v>
      </c>
      <c r="I10" s="58">
        <f t="shared" si="0"/>
        <v>6.0299025938662947</v>
      </c>
      <c r="J10" s="118" t="s">
        <v>63</v>
      </c>
    </row>
    <row r="11" spans="1:10" ht="13.5" customHeight="1" x14ac:dyDescent="0.2">
      <c r="A11" s="612"/>
      <c r="B11" s="2" t="str">
        <f>Rydberg!B11</f>
        <v>Pressure</v>
      </c>
      <c r="C11" s="2" t="s">
        <v>1389</v>
      </c>
      <c r="D11" s="21"/>
      <c r="E11" s="8"/>
      <c r="F11" s="21">
        <f>F5/POWER(F3,3)</f>
        <v>89.87551787368173</v>
      </c>
      <c r="G11" s="21"/>
      <c r="H11" s="8">
        <v>0</v>
      </c>
      <c r="I11" s="58">
        <f t="shared" si="0"/>
        <v>89.87551787368173</v>
      </c>
      <c r="J11" s="118" t="s">
        <v>64</v>
      </c>
    </row>
    <row r="12" spans="1:10" ht="13.5" customHeight="1" x14ac:dyDescent="0.2">
      <c r="A12" s="612"/>
      <c r="B12" s="2" t="str">
        <f>Rydberg!B12</f>
        <v>Charge</v>
      </c>
      <c r="C12" s="2" t="s">
        <v>1391</v>
      </c>
      <c r="D12" s="21"/>
      <c r="E12" s="8"/>
      <c r="F12" s="21">
        <f>F13*F4</f>
        <v>5.9849973001714761E-2</v>
      </c>
      <c r="G12" s="21"/>
      <c r="H12" s="8">
        <v>-3</v>
      </c>
      <c r="I12" s="58">
        <f t="shared" si="0"/>
        <v>59.849973001714758</v>
      </c>
      <c r="J12" s="118" t="str">
        <f>Rydberg!L12</f>
        <v>mC</v>
      </c>
    </row>
    <row r="13" spans="1:10" ht="14.25" customHeight="1" x14ac:dyDescent="0.2">
      <c r="A13" s="612"/>
      <c r="B13" s="2" t="str">
        <f>Rydberg!B13</f>
        <v>Electric current</v>
      </c>
      <c r="C13" s="2" t="s">
        <v>1390</v>
      </c>
      <c r="D13" s="21"/>
      <c r="E13" s="8"/>
      <c r="F13" s="21">
        <f>SQRT(F9/F16)</f>
        <v>6.9270802085318009E-2</v>
      </c>
      <c r="G13" s="21"/>
      <c r="H13" s="8">
        <v>-3</v>
      </c>
      <c r="I13" s="58">
        <f t="shared" si="0"/>
        <v>69.27080208531801</v>
      </c>
      <c r="J13" s="118" t="str">
        <f>Rydberg!L13</f>
        <v>mA</v>
      </c>
    </row>
    <row r="14" spans="1:10" ht="14.25" customHeight="1" x14ac:dyDescent="0.2">
      <c r="A14" s="612"/>
      <c r="B14" s="2" t="str">
        <f>Rydberg!B14</f>
        <v>Field Strength</v>
      </c>
      <c r="C14" s="2" t="s">
        <v>1392</v>
      </c>
      <c r="D14" s="21"/>
      <c r="E14" s="8"/>
      <c r="F14" s="21">
        <f>F13/F3</f>
        <v>0.26743347709767784</v>
      </c>
      <c r="G14" s="21"/>
      <c r="H14" s="8">
        <v>0</v>
      </c>
      <c r="I14" s="58">
        <f t="shared" si="0"/>
        <v>0.26743347709767784</v>
      </c>
      <c r="J14" s="118" t="s">
        <v>648</v>
      </c>
    </row>
    <row r="15" spans="1:10" ht="14.25" customHeight="1" x14ac:dyDescent="0.2">
      <c r="A15" s="612"/>
      <c r="B15" s="2" t="str">
        <f>Rydberg!B15</f>
        <v>Flux density</v>
      </c>
      <c r="C15" s="2" t="s">
        <v>1393</v>
      </c>
      <c r="D15" s="21"/>
      <c r="E15" s="8"/>
      <c r="F15" s="21">
        <f>F12/POWER(F3,2)</f>
        <v>0.89206205813782624</v>
      </c>
      <c r="G15" s="21"/>
      <c r="H15" s="8">
        <v>0</v>
      </c>
      <c r="I15" s="58">
        <f t="shared" si="0"/>
        <v>0.89206205813782624</v>
      </c>
      <c r="J15" s="118" t="s">
        <v>718</v>
      </c>
    </row>
    <row r="16" spans="1:10" ht="14.25" customHeight="1" x14ac:dyDescent="0.2">
      <c r="A16" s="612"/>
      <c r="B16" s="2" t="str">
        <f>Rydberg!B16</f>
        <v>Impedance</v>
      </c>
      <c r="C16" s="2" t="s">
        <v>1394</v>
      </c>
      <c r="D16" s="21"/>
      <c r="E16" s="8"/>
      <c r="F16" s="21">
        <f>Rydberg!F16*4*PI()</f>
        <v>376.73031340987598</v>
      </c>
      <c r="G16" s="21"/>
      <c r="H16" s="8">
        <v>0</v>
      </c>
      <c r="I16" s="58">
        <f t="shared" si="0"/>
        <v>376.73031340987598</v>
      </c>
      <c r="J16" s="118" t="s">
        <v>214</v>
      </c>
    </row>
    <row r="17" spans="1:10" ht="14.25" customHeight="1" x14ac:dyDescent="0.2">
      <c r="A17" s="612"/>
      <c r="B17" s="2" t="str">
        <f>Rydberg!B17</f>
        <v>Electric potential difference</v>
      </c>
      <c r="C17" s="2" t="s">
        <v>1395</v>
      </c>
      <c r="D17" s="21"/>
      <c r="E17" s="8"/>
      <c r="F17" s="21">
        <f>F13*F16</f>
        <v>26.096410979755344</v>
      </c>
      <c r="G17" s="21"/>
      <c r="H17" s="8">
        <v>0</v>
      </c>
      <c r="I17" s="58">
        <f t="shared" si="0"/>
        <v>26.096410979755344</v>
      </c>
      <c r="J17" s="118" t="str">
        <f>Rydberg!L17</f>
        <v>V</v>
      </c>
    </row>
    <row r="18" spans="1:10" ht="14.25" customHeight="1" x14ac:dyDescent="0.2">
      <c r="A18" s="612"/>
      <c r="B18" s="2" t="str">
        <f>Rydberg!B18</f>
        <v>Electric capacitance</v>
      </c>
      <c r="C18" s="2" t="s">
        <v>685</v>
      </c>
      <c r="D18" s="21"/>
      <c r="E18" s="8"/>
      <c r="F18" s="21">
        <f>F4/F16</f>
        <v>2.2934177825504132E-3</v>
      </c>
      <c r="G18" s="21"/>
      <c r="H18" s="8">
        <v>-3</v>
      </c>
      <c r="I18" s="58">
        <f t="shared" si="0"/>
        <v>2.2934177825504132</v>
      </c>
      <c r="J18" s="118" t="str">
        <f>Rydberg!L18</f>
        <v>mF</v>
      </c>
    </row>
    <row r="19" spans="1:10" ht="14.25" customHeight="1" x14ac:dyDescent="0.2">
      <c r="A19" s="612"/>
      <c r="B19" s="2" t="str">
        <f>Rydberg!B19</f>
        <v>Magnetic flux</v>
      </c>
      <c r="C19" s="2" t="s">
        <v>1399</v>
      </c>
      <c r="D19" s="21">
        <v>8.7460408999999999E-3</v>
      </c>
      <c r="E19" s="8"/>
      <c r="F19" s="21">
        <f>F17*F4</f>
        <v>22.547299086508616</v>
      </c>
      <c r="G19" s="21"/>
      <c r="H19" s="8">
        <v>0</v>
      </c>
      <c r="I19" s="58">
        <f t="shared" si="0"/>
        <v>22.547299086508616</v>
      </c>
      <c r="J19" s="118" t="str">
        <f>Rydberg!L19</f>
        <v>Wb</v>
      </c>
    </row>
    <row r="20" spans="1:10" ht="14.25" customHeight="1" x14ac:dyDescent="0.2">
      <c r="A20" s="612"/>
      <c r="B20" s="2" t="str">
        <f>Rydberg!B20</f>
        <v>Magnetic flux density</v>
      </c>
      <c r="C20" s="2" t="s">
        <v>1396</v>
      </c>
      <c r="D20" s="21">
        <v>0.1492125423</v>
      </c>
      <c r="E20" s="8"/>
      <c r="F20" s="21">
        <f>F19/(F3*F3)</f>
        <v>336.0668187433223</v>
      </c>
      <c r="G20" s="21"/>
      <c r="H20" s="8">
        <v>0</v>
      </c>
      <c r="I20" s="58">
        <f t="shared" si="0"/>
        <v>336.0668187433223</v>
      </c>
      <c r="J20" s="118" t="s">
        <v>222</v>
      </c>
    </row>
    <row r="21" spans="1:10" ht="14.25" customHeight="1" x14ac:dyDescent="0.2">
      <c r="A21" s="612"/>
      <c r="B21" s="6" t="str">
        <f>Rydberg!B21</f>
        <v>Inductance</v>
      </c>
      <c r="C21" s="6" t="s">
        <v>1397</v>
      </c>
      <c r="D21" s="29"/>
      <c r="E21" s="30"/>
      <c r="F21" s="29">
        <f>F4*F16</f>
        <v>325.49499078613286</v>
      </c>
      <c r="G21" s="29"/>
      <c r="H21" s="30">
        <v>0</v>
      </c>
      <c r="I21" s="59">
        <f t="shared" si="0"/>
        <v>325.49499078613286</v>
      </c>
      <c r="J21" s="119" t="str">
        <f>Rydberg!L21</f>
        <v>H</v>
      </c>
    </row>
    <row r="22" spans="1:10" ht="14.25" customHeight="1" x14ac:dyDescent="0.2">
      <c r="A22" s="612"/>
      <c r="B22" s="2" t="str">
        <f>Rydberg!B22</f>
        <v>Frequency</v>
      </c>
      <c r="C22" s="2" t="s">
        <v>1398</v>
      </c>
      <c r="D22" s="29"/>
      <c r="E22" s="30"/>
      <c r="F22" s="29">
        <f>1/F4</f>
        <v>1.1574074074074074</v>
      </c>
      <c r="G22" s="21"/>
      <c r="H22" s="8">
        <v>0</v>
      </c>
      <c r="I22" s="58">
        <f t="shared" si="0"/>
        <v>1.1574074074074074</v>
      </c>
      <c r="J22" s="118" t="s">
        <v>670</v>
      </c>
    </row>
    <row r="23" spans="1:10" ht="14.25" customHeight="1" x14ac:dyDescent="0.2">
      <c r="A23" s="612"/>
      <c r="B23" s="2" t="s">
        <v>1400</v>
      </c>
      <c r="C23" s="2" t="s">
        <v>1401</v>
      </c>
      <c r="D23" s="21"/>
      <c r="E23" s="8"/>
      <c r="F23" s="21">
        <f>1/F4</f>
        <v>1.1574074074074074</v>
      </c>
      <c r="G23" s="21"/>
      <c r="H23" s="8">
        <v>0</v>
      </c>
      <c r="I23" s="58">
        <f t="shared" si="0"/>
        <v>1.1574074074074074</v>
      </c>
      <c r="J23" s="118" t="s">
        <v>664</v>
      </c>
    </row>
    <row r="24" spans="1:10" ht="14.25" customHeight="1" x14ac:dyDescent="0.2">
      <c r="A24" s="612"/>
      <c r="B24" s="6" t="s">
        <v>1402</v>
      </c>
      <c r="C24" s="2" t="s">
        <v>1403</v>
      </c>
      <c r="D24" s="21"/>
      <c r="E24" s="8"/>
      <c r="F24" s="21">
        <f>F5/F8</f>
        <v>8.9875517873681754E-2</v>
      </c>
      <c r="G24" s="21"/>
      <c r="H24" s="8">
        <v>0</v>
      </c>
      <c r="I24" s="58">
        <f t="shared" si="0"/>
        <v>8.9875517873681754E-2</v>
      </c>
      <c r="J24" s="118" t="s">
        <v>666</v>
      </c>
    </row>
    <row r="25" spans="1:10" ht="14.25" customHeight="1" x14ac:dyDescent="0.2">
      <c r="A25" s="664"/>
      <c r="B25" s="6" t="s">
        <v>1404</v>
      </c>
      <c r="C25" s="6" t="s">
        <v>1405</v>
      </c>
      <c r="D25" s="29"/>
      <c r="E25" s="30"/>
      <c r="F25" s="29">
        <f>F5/F8</f>
        <v>8.9875517873681754E-2</v>
      </c>
      <c r="G25" s="29"/>
      <c r="H25" s="30">
        <v>0</v>
      </c>
      <c r="I25" s="59">
        <f t="shared" si="0"/>
        <v>8.9875517873681754E-2</v>
      </c>
      <c r="J25" s="119" t="s">
        <v>667</v>
      </c>
    </row>
    <row r="26" spans="1:10" ht="14.25" customHeight="1" thickBot="1" x14ac:dyDescent="0.25">
      <c r="A26" s="664"/>
      <c r="B26" s="4" t="s">
        <v>1067</v>
      </c>
      <c r="C26" s="4"/>
      <c r="D26" s="32"/>
      <c r="E26" s="33"/>
      <c r="F26" s="32">
        <f>F3/F4/F4</f>
        <v>0.34698201157407405</v>
      </c>
      <c r="G26" s="32"/>
      <c r="H26" s="33">
        <v>0</v>
      </c>
      <c r="I26" s="60">
        <f t="shared" si="0"/>
        <v>0.34698201157407405</v>
      </c>
      <c r="J26" s="124" t="s">
        <v>75</v>
      </c>
    </row>
    <row r="27" spans="1:10" ht="11.25" customHeight="1" x14ac:dyDescent="0.2">
      <c r="A27" s="611" t="s">
        <v>27</v>
      </c>
      <c r="B27" s="17" t="s">
        <v>42</v>
      </c>
      <c r="C27" s="18" t="str">
        <f>Rydberg!C31</f>
        <v>Unit Symbol</v>
      </c>
      <c r="D27" s="17" t="s">
        <v>43</v>
      </c>
      <c r="E27" s="18" t="s">
        <v>54</v>
      </c>
      <c r="F27" s="17" t="s">
        <v>47</v>
      </c>
      <c r="G27" s="17" t="s">
        <v>92</v>
      </c>
      <c r="H27" s="579"/>
      <c r="I27" s="580"/>
      <c r="J27" s="20" t="str">
        <f>Rydberg!L31</f>
        <v>Power</v>
      </c>
    </row>
    <row r="28" spans="1:10" ht="14.25" customHeight="1" x14ac:dyDescent="0.2">
      <c r="A28" s="612"/>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12"/>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12"/>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12"/>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12"/>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12"/>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12"/>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12"/>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12"/>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12"/>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12"/>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12"/>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12"/>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12"/>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12"/>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12"/>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12"/>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12"/>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12"/>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12"/>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12"/>
      <c r="B48" s="67" t="str">
        <f>Rydberg!B53</f>
        <v>-log(Sqrt([H+][OH-])/(mol/m^3))</v>
      </c>
      <c r="C48" s="3" t="s">
        <v>719</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12"/>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12"/>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12"/>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12"/>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12"/>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12"/>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12"/>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12"/>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12"/>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12"/>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12"/>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12"/>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12"/>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12"/>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12"/>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13"/>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730</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731</v>
      </c>
      <c r="K3" s="80"/>
      <c r="L3" s="268">
        <f>F3/G3</f>
        <v>1</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715</v>
      </c>
      <c r="K4" s="24"/>
      <c r="L4" s="268">
        <f t="shared" ref="L4:L30" si="2">F4/G4</f>
        <v>1</v>
      </c>
    </row>
    <row r="5" spans="1:12" ht="13.5" customHeight="1" x14ac:dyDescent="0.2">
      <c r="A5" s="612"/>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708</v>
      </c>
      <c r="K5" s="24"/>
      <c r="L5" s="268">
        <f t="shared" si="2"/>
        <v>1.0000000000000002</v>
      </c>
    </row>
    <row r="6" spans="1:12" ht="13.5" customHeight="1" x14ac:dyDescent="0.2">
      <c r="A6" s="612"/>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709</v>
      </c>
      <c r="K6" s="24"/>
      <c r="L6" s="268">
        <f t="shared" si="2"/>
        <v>1</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710</v>
      </c>
      <c r="K9" s="24"/>
      <c r="L9" s="268">
        <f t="shared" si="2"/>
        <v>1.0000000000000002</v>
      </c>
    </row>
    <row r="10" spans="1:12" ht="13.5" customHeight="1" x14ac:dyDescent="0.2">
      <c r="A10" s="612"/>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711</v>
      </c>
      <c r="K10" s="24"/>
      <c r="L10" s="268">
        <f t="shared" si="2"/>
        <v>1.0000000000000002</v>
      </c>
    </row>
    <row r="11" spans="1:12" ht="13.5" customHeight="1" x14ac:dyDescent="0.2">
      <c r="A11" s="612"/>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716</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717</v>
      </c>
      <c r="K13" s="24"/>
      <c r="L13" s="268">
        <f t="shared" si="2"/>
        <v>1.0000000000000002</v>
      </c>
    </row>
    <row r="14" spans="1:12" ht="14.25" customHeight="1" x14ac:dyDescent="0.2">
      <c r="A14" s="612"/>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718</v>
      </c>
      <c r="K15" s="24"/>
      <c r="L15" s="268">
        <f t="shared" si="2"/>
        <v>1.0000000000000002</v>
      </c>
    </row>
    <row r="16" spans="1:12" ht="14.25" customHeight="1" x14ac:dyDescent="0.2">
      <c r="A16" s="612"/>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12"/>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12"/>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670</v>
      </c>
      <c r="K22" s="257"/>
      <c r="L22" s="268">
        <f t="shared" si="2"/>
        <v>1</v>
      </c>
    </row>
    <row r="23" spans="1:12" ht="14.25" customHeight="1" x14ac:dyDescent="0.2">
      <c r="A23" s="612"/>
      <c r="B23" s="2" t="str">
        <f>Rydberg!B23</f>
        <v>Luminous flux</v>
      </c>
      <c r="C23" s="2" t="str">
        <f>Rydberg!C23</f>
        <v>W_e</v>
      </c>
      <c r="D23" s="21">
        <f>D9</f>
        <v>253727.5724748029</v>
      </c>
      <c r="E23" s="8">
        <f>E9</f>
        <v>-3</v>
      </c>
      <c r="F23" s="21">
        <f t="shared" si="0"/>
        <v>253.72757247480291</v>
      </c>
      <c r="G23" s="21">
        <f>G9</f>
        <v>253.72757247480288</v>
      </c>
      <c r="H23" s="8">
        <v>0</v>
      </c>
      <c r="I23" s="58">
        <f t="shared" si="1"/>
        <v>253.72757247480291</v>
      </c>
      <c r="J23" s="118" t="s">
        <v>712</v>
      </c>
      <c r="K23" s="258"/>
      <c r="L23" s="268">
        <f t="shared" si="2"/>
        <v>1.0000000000000002</v>
      </c>
    </row>
    <row r="24" spans="1:12" ht="14.25" customHeight="1" x14ac:dyDescent="0.2">
      <c r="A24" s="612"/>
      <c r="B24" s="2" t="str">
        <f>Rydberg!B24</f>
        <v>Luminous intensity</v>
      </c>
      <c r="C24" s="2" t="str">
        <f>Rydberg!C24</f>
        <v>W_e/sr</v>
      </c>
      <c r="D24" s="21">
        <f>D23</f>
        <v>253727.5724748029</v>
      </c>
      <c r="E24" s="8">
        <f>E9</f>
        <v>-3</v>
      </c>
      <c r="F24" s="21">
        <f t="shared" si="0"/>
        <v>253.72757247480291</v>
      </c>
      <c r="G24" s="21">
        <f>G23</f>
        <v>253.72757247480288</v>
      </c>
      <c r="H24" s="8">
        <v>0</v>
      </c>
      <c r="I24" s="58">
        <f t="shared" si="1"/>
        <v>253.72757247480291</v>
      </c>
      <c r="J24" s="118" t="s">
        <v>713</v>
      </c>
      <c r="K24" s="24"/>
      <c r="L24" s="268">
        <f t="shared" si="2"/>
        <v>1.0000000000000002</v>
      </c>
    </row>
    <row r="25" spans="1:12" ht="14.25" customHeight="1" x14ac:dyDescent="0.2">
      <c r="A25" s="612"/>
      <c r="B25" s="2"/>
      <c r="C25" s="2" t="str">
        <f>Rydberg!C25</f>
        <v>W_e/Ω_2</v>
      </c>
      <c r="D25" s="21">
        <f>D23/(4*PI())</f>
        <v>20190.998679036002</v>
      </c>
      <c r="E25" s="8">
        <f>E9</f>
        <v>-3</v>
      </c>
      <c r="F25" s="21">
        <f t="shared" si="0"/>
        <v>20.190998679036003</v>
      </c>
      <c r="G25" s="21">
        <f>G24/(4*PI())</f>
        <v>20.190998679036003</v>
      </c>
      <c r="H25" s="8">
        <v>0</v>
      </c>
      <c r="I25" s="58">
        <f t="shared" si="1"/>
        <v>20.190998679036003</v>
      </c>
      <c r="J25" s="118" t="s">
        <v>713</v>
      </c>
      <c r="K25" s="24"/>
      <c r="L25" s="268">
        <f t="shared" si="2"/>
        <v>1</v>
      </c>
    </row>
    <row r="26" spans="1:12" ht="14.25" customHeight="1" x14ac:dyDescent="0.2">
      <c r="A26" s="612"/>
      <c r="B26" s="2" t="str">
        <f>Rydberg!B26</f>
        <v>Illuminance and luminous emittance</v>
      </c>
      <c r="C26" s="2" t="str">
        <f>Rydberg!C26</f>
        <v>W_e/m^2</v>
      </c>
      <c r="D26" s="21">
        <f>D23/D3/D3</f>
        <v>75863.912788000031</v>
      </c>
      <c r="E26" s="8">
        <f>E9-2*E3</f>
        <v>-3</v>
      </c>
      <c r="F26" s="21">
        <f t="shared" si="0"/>
        <v>75.863912788000036</v>
      </c>
      <c r="G26" s="21">
        <f>G23/(G3*G3)</f>
        <v>75.863912788000036</v>
      </c>
      <c r="H26" s="8">
        <v>0</v>
      </c>
      <c r="I26" s="58">
        <f t="shared" si="1"/>
        <v>75.863912788000036</v>
      </c>
      <c r="J26" s="118" t="s">
        <v>714</v>
      </c>
      <c r="K26" s="24"/>
      <c r="L26" s="268">
        <f t="shared" si="2"/>
        <v>1</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662</v>
      </c>
      <c r="K27" s="24"/>
      <c r="L27" s="268">
        <f t="shared" si="2"/>
        <v>1.0000000000000002</v>
      </c>
    </row>
    <row r="28" spans="1:12" ht="14.25" customHeight="1" x14ac:dyDescent="0.2">
      <c r="A28" s="612"/>
      <c r="B28" s="2" t="str">
        <f>Rydberg!B28</f>
        <v>Radio activity</v>
      </c>
      <c r="C28" s="2" t="str">
        <f>Rydberg!C28</f>
        <v>mol_n/s</v>
      </c>
      <c r="D28" s="21">
        <f>1/D4</f>
        <v>2.3148148148148149</v>
      </c>
      <c r="E28" s="8">
        <f>-E4</f>
        <v>0</v>
      </c>
      <c r="F28" s="21">
        <f t="shared" si="0"/>
        <v>2.3148148148148149</v>
      </c>
      <c r="G28" s="21">
        <f>1/G4</f>
        <v>2.3148148148148149</v>
      </c>
      <c r="H28" s="8">
        <v>0</v>
      </c>
      <c r="I28" s="58">
        <f t="shared" si="1"/>
        <v>2.3148148148148149</v>
      </c>
      <c r="J28" s="118" t="s">
        <v>664</v>
      </c>
      <c r="K28" s="24"/>
      <c r="L28" s="268">
        <f t="shared" si="2"/>
        <v>1</v>
      </c>
    </row>
    <row r="29" spans="1:12" ht="14.25" customHeight="1" x14ac:dyDescent="0.2">
      <c r="A29" s="612"/>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666</v>
      </c>
      <c r="K29" s="24"/>
      <c r="L29" s="268">
        <f t="shared" si="2"/>
        <v>1</v>
      </c>
    </row>
    <row r="30" spans="1:12" ht="14.25" customHeight="1" thickBot="1" x14ac:dyDescent="0.25">
      <c r="A30" s="664"/>
      <c r="B30" s="6" t="str">
        <f>Rydberg!B30</f>
        <v>Equivalent dose</v>
      </c>
      <c r="C30" s="6" t="str">
        <f>Rydberg!C30</f>
        <v>J_e/g</v>
      </c>
      <c r="D30" s="29">
        <f>D5/D8/K30</f>
        <v>17.92111111111112</v>
      </c>
      <c r="E30" s="30">
        <v>0</v>
      </c>
      <c r="F30" s="29">
        <f t="shared" si="0"/>
        <v>17.92111111111112</v>
      </c>
      <c r="G30" s="29">
        <f>G29</f>
        <v>17.92111111111112</v>
      </c>
      <c r="H30" s="30">
        <v>0</v>
      </c>
      <c r="I30" s="59">
        <f t="shared" si="1"/>
        <v>17.92111111111112</v>
      </c>
      <c r="J30" s="119" t="s">
        <v>667</v>
      </c>
      <c r="K30" s="261">
        <v>1</v>
      </c>
      <c r="L30" s="268">
        <f t="shared" si="2"/>
        <v>1</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12"/>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12"/>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12"/>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12"/>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12"/>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12"/>
      <c r="B52" s="67" t="str">
        <f>Rydberg!B53</f>
        <v>-log(Sqrt([H+][OH-])/(mol/m^3))</v>
      </c>
      <c r="C52" s="3" t="s">
        <v>719</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12"/>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12"/>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12"/>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12"/>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12"/>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12"/>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1" t="s">
        <v>26</v>
      </c>
      <c r="B1" s="17" t="s">
        <v>42</v>
      </c>
      <c r="C1" s="18" t="str">
        <f>Rydberg!C1</f>
        <v>Unit Symbol</v>
      </c>
      <c r="D1" s="17" t="s">
        <v>43</v>
      </c>
      <c r="E1" s="18" t="s">
        <v>44</v>
      </c>
      <c r="F1" s="17" t="s">
        <v>55</v>
      </c>
      <c r="G1" s="17" t="s">
        <v>730</v>
      </c>
      <c r="H1" s="19"/>
      <c r="I1" s="56" t="s">
        <v>46</v>
      </c>
      <c r="J1" s="20"/>
      <c r="K1" s="299"/>
    </row>
    <row r="2" spans="1:12" ht="13.5" customHeight="1" x14ac:dyDescent="0.2">
      <c r="A2" s="612"/>
      <c r="B2" s="2" t="str">
        <f>Rydberg!B2</f>
        <v>Local Time</v>
      </c>
      <c r="C2" s="2" t="str">
        <f>Rydberg!C2</f>
        <v>s</v>
      </c>
      <c r="D2" s="270"/>
      <c r="E2" s="8"/>
      <c r="F2" s="8"/>
      <c r="G2" s="8"/>
      <c r="H2" s="8"/>
      <c r="I2" s="57"/>
      <c r="J2" s="22"/>
      <c r="K2" s="80"/>
      <c r="L2" s="24"/>
    </row>
    <row r="3" spans="1:12" ht="13.5" customHeight="1" x14ac:dyDescent="0.2">
      <c r="A3" s="612"/>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732</v>
      </c>
      <c r="K3" s="80"/>
      <c r="L3" s="268">
        <f>F3/G3</f>
        <v>1.0000000000000002</v>
      </c>
    </row>
    <row r="4" spans="1:12" ht="13.5" customHeight="1" x14ac:dyDescent="0.2">
      <c r="A4" s="612"/>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12"/>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12"/>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733</v>
      </c>
      <c r="K6" s="24"/>
      <c r="L6" s="268">
        <f t="shared" si="2"/>
        <v>1.0000000000000002</v>
      </c>
    </row>
    <row r="7" spans="1:12" ht="13.5" customHeight="1" x14ac:dyDescent="0.2">
      <c r="A7" s="612"/>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2"/>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2"/>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12"/>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12"/>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12"/>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12"/>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12"/>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12"/>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718</v>
      </c>
      <c r="K15" s="24"/>
      <c r="L15" s="268">
        <f t="shared" si="2"/>
        <v>0.99999999999999978</v>
      </c>
    </row>
    <row r="16" spans="1:12" ht="14.25" customHeight="1" x14ac:dyDescent="0.2">
      <c r="A16" s="612"/>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12"/>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12"/>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12"/>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12"/>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12"/>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12"/>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670</v>
      </c>
      <c r="K22" s="257"/>
      <c r="L22" s="268">
        <f t="shared" si="2"/>
        <v>1</v>
      </c>
    </row>
    <row r="23" spans="1:12" ht="14.25" customHeight="1" x14ac:dyDescent="0.2">
      <c r="A23" s="612"/>
      <c r="B23" s="2" t="str">
        <f>Rydberg!B23</f>
        <v>Luminous flux</v>
      </c>
      <c r="C23" s="2" t="str">
        <f>Rydberg!C23</f>
        <v>W_e</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12"/>
      <c r="B24" s="2" t="str">
        <f>Rydberg!B24</f>
        <v>Luminous intensity</v>
      </c>
      <c r="C24" s="2" t="str">
        <f>Rydberg!C24</f>
        <v>W_e/sr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12"/>
      <c r="B25" s="2"/>
      <c r="C25" s="2" t="str">
        <f>Rydberg!C25</f>
        <v>W_e/Ω_2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12"/>
      <c r="B26" s="2" t="str">
        <f>Rydberg!B26</f>
        <v>Illuminance and luminous emittance</v>
      </c>
      <c r="C26" s="2" t="str">
        <f>Rydberg!C26</f>
        <v>W_e/m^2</v>
      </c>
      <c r="D26" s="21">
        <f>D23/D3/D3</f>
        <v>75863.912788000031</v>
      </c>
      <c r="E26" s="8">
        <f>E9-2*E3</f>
        <v>-3</v>
      </c>
      <c r="F26" s="21">
        <f t="shared" si="0"/>
        <v>75.863912788000036</v>
      </c>
      <c r="G26" s="21">
        <f>G23/(G3*G3)</f>
        <v>75.863912788000022</v>
      </c>
      <c r="H26" s="8">
        <v>0</v>
      </c>
      <c r="I26" s="58">
        <f t="shared" si="1"/>
        <v>75.863912788000036</v>
      </c>
      <c r="J26" s="118" t="s">
        <v>671</v>
      </c>
      <c r="K26" s="24"/>
      <c r="L26" s="268">
        <f t="shared" si="2"/>
        <v>1.0000000000000002</v>
      </c>
    </row>
    <row r="27" spans="1:12" ht="14.25" customHeight="1" x14ac:dyDescent="0.2">
      <c r="A27" s="612"/>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662</v>
      </c>
      <c r="K27" s="24"/>
      <c r="L27" s="268">
        <f t="shared" si="2"/>
        <v>1.0000000000000002</v>
      </c>
    </row>
    <row r="28" spans="1:12" ht="14.25" customHeight="1" x14ac:dyDescent="0.2">
      <c r="A28" s="612"/>
      <c r="B28" s="2" t="str">
        <f>Rydberg!B28</f>
        <v>Radio activity</v>
      </c>
      <c r="C28" s="2" t="str">
        <f>Rydberg!C28</f>
        <v>mol_n/s</v>
      </c>
      <c r="D28" s="21">
        <f>1/D4</f>
        <v>2.3148148148148149</v>
      </c>
      <c r="E28" s="8">
        <f>-E4</f>
        <v>0</v>
      </c>
      <c r="F28" s="21">
        <f t="shared" si="0"/>
        <v>2.3148148148148149</v>
      </c>
      <c r="G28" s="21">
        <f>1/G4</f>
        <v>2.3148148148148149</v>
      </c>
      <c r="H28" s="8">
        <v>0</v>
      </c>
      <c r="I28" s="58">
        <f t="shared" si="1"/>
        <v>2.3148148148148149</v>
      </c>
      <c r="J28" s="118" t="s">
        <v>664</v>
      </c>
      <c r="K28" s="24"/>
      <c r="L28" s="268">
        <f t="shared" si="2"/>
        <v>1</v>
      </c>
    </row>
    <row r="29" spans="1:12" ht="14.25" customHeight="1" x14ac:dyDescent="0.2">
      <c r="A29" s="612"/>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666</v>
      </c>
      <c r="K29" s="24"/>
      <c r="L29" s="268">
        <f t="shared" si="2"/>
        <v>1.0000000000000002</v>
      </c>
    </row>
    <row r="30" spans="1:12" ht="14.25" customHeight="1" thickBot="1" x14ac:dyDescent="0.25">
      <c r="A30" s="664"/>
      <c r="B30" s="6" t="str">
        <f>Rydberg!B30</f>
        <v>Equivalent dose</v>
      </c>
      <c r="C30" s="6" t="str">
        <f>Rydberg!C30</f>
        <v>J_e/g</v>
      </c>
      <c r="D30" s="29">
        <f>D5/D8/K30</f>
        <v>17.92111111111112</v>
      </c>
      <c r="E30" s="30">
        <v>-2</v>
      </c>
      <c r="F30" s="29">
        <f t="shared" si="0"/>
        <v>0.17921111111111121</v>
      </c>
      <c r="G30" s="29">
        <f>G29</f>
        <v>0.17921111111111115</v>
      </c>
      <c r="H30" s="30">
        <v>-3</v>
      </c>
      <c r="I30" s="59">
        <f t="shared" si="1"/>
        <v>179.21111111111119</v>
      </c>
      <c r="J30" s="119" t="s">
        <v>667</v>
      </c>
      <c r="K30" s="261">
        <v>1</v>
      </c>
      <c r="L30" s="268">
        <f t="shared" si="2"/>
        <v>1.0000000000000002</v>
      </c>
    </row>
    <row r="31" spans="1:12" ht="11.25" customHeight="1" x14ac:dyDescent="0.2">
      <c r="A31" s="611"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12"/>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2"/>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2"/>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12"/>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12"/>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12"/>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2"/>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2"/>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2"/>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12"/>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2"/>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2"/>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12"/>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12"/>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12"/>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12"/>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12"/>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12"/>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2"/>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12"/>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12"/>
      <c r="B52" s="67" t="str">
        <f>Rydberg!B53</f>
        <v>-log(Sqrt([H+][OH-])/(mol/m^3))</v>
      </c>
      <c r="C52" s="3" t="s">
        <v>719</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12"/>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12"/>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12"/>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2"/>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12"/>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12"/>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12"/>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12"/>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12"/>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12"/>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2"/>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12"/>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12"/>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12"/>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12"/>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13"/>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1.5" x14ac:dyDescent="0.2"/>
  <cols>
    <col min="1" max="1" width="16.453125" style="14" customWidth="1"/>
    <col min="2" max="2" width="9.6328125" style="14" customWidth="1"/>
    <col min="3" max="4" width="9.6328125" style="232" customWidth="1"/>
    <col min="5" max="7" width="9.6328125" style="14" customWidth="1"/>
    <col min="8" max="8" width="9.6328125" style="386" customWidth="1"/>
    <col min="9" max="9" width="9.6328125" style="14" customWidth="1"/>
    <col min="10" max="16384" width="9" style="14"/>
  </cols>
  <sheetData>
    <row r="1" spans="1:8" x14ac:dyDescent="0.2">
      <c r="A1" s="394" t="s">
        <v>1077</v>
      </c>
      <c r="B1" s="400">
        <v>1365.94</v>
      </c>
      <c r="C1" s="401" t="s">
        <v>1078</v>
      </c>
      <c r="D1" s="397">
        <f>$B1/(Clock_by_Rydberg!F9/POWER(Clock_by_Rydberg!F3,2))</f>
        <v>617.58992187612182</v>
      </c>
      <c r="E1" s="407" t="s">
        <v>1088</v>
      </c>
      <c r="F1" s="414">
        <f>$B1/(TGM!F9/POWER(TGM!F3,2))</f>
        <v>0.27650160097796167</v>
      </c>
      <c r="G1" s="415" t="s">
        <v>1093</v>
      </c>
      <c r="H1" s="410" t="s">
        <v>1106</v>
      </c>
    </row>
    <row r="2" spans="1:8" x14ac:dyDescent="0.2">
      <c r="A2" s="395" t="s">
        <v>1092</v>
      </c>
      <c r="B2" s="91">
        <f>B1*B7*B7</f>
        <v>3.0569085248498895E+25</v>
      </c>
      <c r="C2" s="402" t="s">
        <v>1079</v>
      </c>
      <c r="D2" s="398">
        <f>$B2/Clock_by_Rydberg!F9</f>
        <v>1.8633276388425983E+26</v>
      </c>
      <c r="E2" s="408" t="s">
        <v>1089</v>
      </c>
      <c r="F2" s="403">
        <f>$B2/TGM!F9</f>
        <v>7.0777629856157472E+22</v>
      </c>
      <c r="G2" s="416" t="s">
        <v>1094</v>
      </c>
      <c r="H2" s="411"/>
    </row>
    <row r="3" spans="1:8" x14ac:dyDescent="0.2">
      <c r="A3" s="395" t="s">
        <v>1081</v>
      </c>
      <c r="B3" s="403">
        <f>C7*B7*B7</f>
        <v>2.8645789066927231E+27</v>
      </c>
      <c r="C3" s="404" t="s">
        <v>1082</v>
      </c>
      <c r="D3" s="398">
        <f>$B3/Clock_by_Rydberg!F24</f>
        <v>2.4765695145962128E+25</v>
      </c>
      <c r="E3" s="408" t="s">
        <v>1090</v>
      </c>
      <c r="F3" s="403">
        <f>$B3/TGM!F24</f>
        <v>2.4284391286245942E+27</v>
      </c>
      <c r="G3" s="416" t="s">
        <v>1095</v>
      </c>
      <c r="H3" s="412" t="s">
        <v>1097</v>
      </c>
    </row>
    <row r="4" spans="1:8" ht="12" thickBot="1" x14ac:dyDescent="0.25">
      <c r="A4" s="396" t="s">
        <v>1083</v>
      </c>
      <c r="B4" s="405">
        <f>B3/B2</f>
        <v>93.708362007115966</v>
      </c>
      <c r="C4" s="406" t="s">
        <v>1084</v>
      </c>
      <c r="D4" s="399">
        <f>D3/D2</f>
        <v>0.13291111358894073</v>
      </c>
      <c r="E4" s="409" t="s">
        <v>1091</v>
      </c>
      <c r="F4" s="417">
        <f>F3/F2</f>
        <v>34310.82862706692</v>
      </c>
      <c r="G4" s="406" t="s">
        <v>1096</v>
      </c>
      <c r="H4" s="413"/>
    </row>
    <row r="5" spans="1:8" ht="12" thickBot="1" x14ac:dyDescent="0.25"/>
    <row r="6" spans="1:8" ht="35" thickBot="1" x14ac:dyDescent="0.25">
      <c r="A6" s="422" t="s">
        <v>1107</v>
      </c>
      <c r="B6" s="423" t="s">
        <v>1075</v>
      </c>
      <c r="C6" s="424" t="s">
        <v>1080</v>
      </c>
      <c r="D6" s="424" t="s">
        <v>1085</v>
      </c>
      <c r="E6" s="423" t="s">
        <v>1099</v>
      </c>
      <c r="F6" s="425" t="s">
        <v>1098</v>
      </c>
      <c r="G6" s="423" t="s">
        <v>1087</v>
      </c>
      <c r="H6" s="426" t="s">
        <v>1106</v>
      </c>
    </row>
    <row r="7" spans="1:8" x14ac:dyDescent="0.2">
      <c r="A7" s="418" t="s">
        <v>1076</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x14ac:dyDescent="0.2">
      <c r="A8" s="390" t="s">
        <v>1069</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x14ac:dyDescent="0.2">
      <c r="A10" s="390" t="s">
        <v>1070</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x14ac:dyDescent="0.2">
      <c r="A13" s="390" t="s">
        <v>1086</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1108</v>
      </c>
    </row>
    <row r="15" spans="1:8"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ht="12"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2026-02-02T17:58:15Z</cp:lastPrinted>
  <dcterms:created xsi:type="dcterms:W3CDTF">2010-05-16T05:35:37Z</dcterms:created>
  <dcterms:modified xsi:type="dcterms:W3CDTF">2026-02-02T17:58:26Z</dcterms:modified>
</cp:coreProperties>
</file>